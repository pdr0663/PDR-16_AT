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ul.Riley\PDR-16_XT\"/>
    </mc:Choice>
  </mc:AlternateContent>
  <xr:revisionPtr revIDLastSave="0" documentId="13_ncr:1_{AC09B03C-AA23-4A1A-A5EA-F878D457FB34}" xr6:coauthVersionLast="47" xr6:coauthVersionMax="47" xr10:uidLastSave="{00000000-0000-0000-0000-000000000000}"/>
  <bookViews>
    <workbookView xWindow="-21047" yWindow="1647" windowWidth="19200" windowHeight="9953" activeTab="3" xr2:uid="{00000000-000D-0000-FFFF-FFFF00000000}"/>
  </bookViews>
  <sheets>
    <sheet name="Forth Primitives" sheetId="7" r:id="rId1"/>
    <sheet name="Input Sequencer Word" sheetId="5" r:id="rId2"/>
    <sheet name="Output Control Word" sheetId="2" r:id="rId3"/>
    <sheet name="uInstructions" sheetId="9" r:id="rId4"/>
    <sheet name="Registers" sheetId="15" r:id="rId5"/>
    <sheet name="ALU Logic" sheetId="10" r:id="rId6"/>
    <sheet name="Memory Logic" sheetId="11" r:id="rId7"/>
    <sheet name="ISA Bus" sheetId="12" r:id="rId8"/>
    <sheet name="move_profile" sheetId="14" r:id="rId9"/>
  </sheets>
  <functionGroups builtInGroupCount="19"/>
  <definedNames>
    <definedName name="_xlnm._FilterDatabase" localSheetId="5" hidden="1">'ALU Logic'!$A$1:$C$15</definedName>
    <definedName name="_xlnm._FilterDatabase" localSheetId="8" hidden="1">move_profile!$A$1:$G$42</definedName>
    <definedName name="_xlnm._FilterDatabase" localSheetId="3" hidden="1">uInstructions!#REF!</definedName>
    <definedName name="ADC">'ALU Logic'!$B$2</definedName>
    <definedName name="ADD">'ALU Logic'!$B$3</definedName>
    <definedName name="ALU_A">'ALU Logic'!$B$4</definedName>
    <definedName name="ALU_B">'ALU Logic'!$B$5</definedName>
    <definedName name="AND">'ALU Logic'!$B$6</definedName>
    <definedName name="DEC">'ALU Logic'!$B$7</definedName>
    <definedName name="INC">'ALU Logic'!$B$8</definedName>
    <definedName name="NOT">'ALU Logic'!$B$9</definedName>
    <definedName name="OR">'ALU Logic'!$B$10</definedName>
    <definedName name="SBB">'ALU Logic'!$B$11</definedName>
    <definedName name="SHL">'ALU Logic'!$B$12</definedName>
    <definedName name="SUB">'ALU Logic'!$B$13</definedName>
    <definedName name="XOR">'ALU Logic'!$B$14</definedName>
    <definedName name="ZERO">'ALU Logic'!$B$15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11" l="1"/>
  <c r="G36" i="11"/>
  <c r="H36" i="11"/>
  <c r="I36" i="11"/>
  <c r="J36" i="11"/>
  <c r="F37" i="11"/>
  <c r="G37" i="11"/>
  <c r="H37" i="11"/>
  <c r="I37" i="11"/>
  <c r="J37" i="11"/>
  <c r="F38" i="11"/>
  <c r="G38" i="11"/>
  <c r="H38" i="11"/>
  <c r="I38" i="11"/>
  <c r="J38" i="11"/>
  <c r="F39" i="11"/>
  <c r="G39" i="11"/>
  <c r="H39" i="11"/>
  <c r="I39" i="11"/>
  <c r="J39" i="11"/>
  <c r="E37" i="11"/>
  <c r="E38" i="11"/>
  <c r="E39" i="11"/>
  <c r="E36" i="11"/>
  <c r="F35" i="11"/>
  <c r="G35" i="11"/>
  <c r="H35" i="11"/>
  <c r="I35" i="11"/>
  <c r="J35" i="11"/>
  <c r="E35" i="11"/>
  <c r="B11" i="10"/>
  <c r="B8" i="10"/>
  <c r="B10" i="10"/>
  <c r="B6" i="10"/>
  <c r="B9" i="10"/>
  <c r="B7" i="10"/>
  <c r="B4" i="10"/>
  <c r="B13" i="10"/>
  <c r="B2" i="10"/>
  <c r="B15" i="10"/>
  <c r="B5" i="10"/>
  <c r="B3" i="10"/>
  <c r="B14" i="10"/>
  <c r="B12" i="10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2" i="7"/>
</calcChain>
</file>

<file path=xl/sharedStrings.xml><?xml version="1.0" encoding="utf-8"?>
<sst xmlns="http://schemas.openxmlformats.org/spreadsheetml/2006/main" count="942" uniqueCount="459">
  <si>
    <t>Opcode</t>
  </si>
  <si>
    <t>Opcode Bin</t>
  </si>
  <si>
    <t>Word</t>
  </si>
  <si>
    <t>Description</t>
  </si>
  <si>
    <t>NOP</t>
  </si>
  <si>
    <t>?rx</t>
  </si>
  <si>
    <t>Check for input character ( - False) if no, ( - char True) if yes.</t>
  </si>
  <si>
    <t>tx!</t>
  </si>
  <si>
    <t>Transmit a character to the console</t>
  </si>
  <si>
    <t>doLIT</t>
  </si>
  <si>
    <t>Push the value in the memory location after this instruction onto the stack</t>
  </si>
  <si>
    <t>doLIST</t>
  </si>
  <si>
    <t>Begin the execution of a colon word, which follows this word in memory</t>
  </si>
  <si>
    <t>doVAR</t>
  </si>
  <si>
    <t>next</t>
  </si>
  <si>
    <t>Complete this native word and execute the next word</t>
  </si>
  <si>
    <t>?branch</t>
  </si>
  <si>
    <t>Conditionally branch to address in next memory location</t>
  </si>
  <si>
    <t>branch</t>
  </si>
  <si>
    <t>Branch to address in the next memory location</t>
  </si>
  <si>
    <t>EXECUTE</t>
  </si>
  <si>
    <t>Execute word at the address on the top of the stack</t>
  </si>
  <si>
    <t xml:space="preserve">EXIT </t>
  </si>
  <si>
    <t>Exit a colon word</t>
  </si>
  <si>
    <t>!</t>
  </si>
  <si>
    <t>Store the value second top of stack, to address on top of stack</t>
  </si>
  <si>
    <t>@</t>
  </si>
  <si>
    <t>Fetch the value at the address on top of stack</t>
  </si>
  <si>
    <t>C!</t>
  </si>
  <si>
    <t>Store the byte value second top of stack, to address on top of stack</t>
  </si>
  <si>
    <t xml:space="preserve">C@ </t>
  </si>
  <si>
    <t>Fetch the byte value at the address on top of stack</t>
  </si>
  <si>
    <t>RP@</t>
  </si>
  <si>
    <t>Fetch the value of the return stack pointer</t>
  </si>
  <si>
    <t>RP!</t>
  </si>
  <si>
    <t>Set the value of the return stack pointer</t>
  </si>
  <si>
    <t>R&gt;</t>
  </si>
  <si>
    <t>Pop the stack and push to the return stack</t>
  </si>
  <si>
    <t>R@</t>
  </si>
  <si>
    <t>Fetch the value on top of the return stack</t>
  </si>
  <si>
    <t>&gt;R</t>
  </si>
  <si>
    <t>Pop the return stack and push onto stack</t>
  </si>
  <si>
    <t>SP@</t>
  </si>
  <si>
    <t>Fetch the value of the stack pointer</t>
  </si>
  <si>
    <t>SP!</t>
  </si>
  <si>
    <t>Set the value of the stack pointer</t>
  </si>
  <si>
    <t>DROP</t>
  </si>
  <si>
    <t>Drop the top value from the stack</t>
  </si>
  <si>
    <t>DUP</t>
  </si>
  <si>
    <t>Duplicate the top value of the stack</t>
  </si>
  <si>
    <t>SWAP</t>
  </si>
  <si>
    <t>Swap the first and second values on the stack</t>
  </si>
  <si>
    <t xml:space="preserve">OVER </t>
  </si>
  <si>
    <t>Add the second stack value to the top of the stack</t>
  </si>
  <si>
    <t>0&lt;</t>
  </si>
  <si>
    <t>Test the top of stack, and replace with TOS &lt; 0</t>
  </si>
  <si>
    <t>AND</t>
  </si>
  <si>
    <t>AND the top two items on the stack, and leave on stack</t>
  </si>
  <si>
    <t>OR</t>
  </si>
  <si>
    <t>OR the top two items on the stack, and leave on stack</t>
  </si>
  <si>
    <t xml:space="preserve">XOR </t>
  </si>
  <si>
    <t>XOR the top two items on the stack, and leave on stack</t>
  </si>
  <si>
    <t xml:space="preserve">UM+ </t>
  </si>
  <si>
    <t>Perform an unsigned addition of the top two stack items, leave the result and carry flag</t>
  </si>
  <si>
    <t>Bit</t>
  </si>
  <si>
    <t>Function</t>
  </si>
  <si>
    <t>Comments</t>
  </si>
  <si>
    <t>IR4</t>
  </si>
  <si>
    <t>5-bits = 32 instructions</t>
  </si>
  <si>
    <t>IR3</t>
  </si>
  <si>
    <t>IR2</t>
  </si>
  <si>
    <t>IR1</t>
  </si>
  <si>
    <t>IR0</t>
  </si>
  <si>
    <t>ST4</t>
  </si>
  <si>
    <t>5-bits = 32 possible states per instruction</t>
  </si>
  <si>
    <t>ST3</t>
  </si>
  <si>
    <t>ST2</t>
  </si>
  <si>
    <t>ST1</t>
  </si>
  <si>
    <t>ST0</t>
  </si>
  <si>
    <t>#FLAG_C</t>
  </si>
  <si>
    <t>FLAG_Z</t>
  </si>
  <si>
    <t>Selected flag</t>
  </si>
  <si>
    <t>#RXRDY</t>
  </si>
  <si>
    <t>Char available to receive</t>
  </si>
  <si>
    <t>#TXRDY</t>
  </si>
  <si>
    <t>Ready to transmit char</t>
  </si>
  <si>
    <t>FLAG_N</t>
  </si>
  <si>
    <t>LOW</t>
  </si>
  <si>
    <t>Field</t>
  </si>
  <si>
    <t>Comment</t>
  </si>
  <si>
    <t>CLS2</t>
  </si>
  <si>
    <t>CLS1</t>
  </si>
  <si>
    <t>CLS0</t>
  </si>
  <si>
    <t>SUB1</t>
  </si>
  <si>
    <t>SUB0</t>
  </si>
  <si>
    <t>R</t>
  </si>
  <si>
    <t>A</t>
  </si>
  <si>
    <t>IR</t>
  </si>
  <si>
    <t>IP</t>
  </si>
  <si>
    <t>WP</t>
  </si>
  <si>
    <t>RP</t>
  </si>
  <si>
    <t>SP</t>
  </si>
  <si>
    <t>MAR</t>
  </si>
  <si>
    <t>MEM</t>
  </si>
  <si>
    <t>IO</t>
  </si>
  <si>
    <t>X</t>
  </si>
  <si>
    <t>Class</t>
  </si>
  <si>
    <t>Operation</t>
  </si>
  <si>
    <t>000</t>
  </si>
  <si>
    <t>001</t>
  </si>
  <si>
    <t>010</t>
  </si>
  <si>
    <t>011</t>
  </si>
  <si>
    <t>100</t>
  </si>
  <si>
    <t>101</t>
  </si>
  <si>
    <t>110</t>
  </si>
  <si>
    <t>111</t>
  </si>
  <si>
    <t>MAR &lt;- Src</t>
  </si>
  <si>
    <t>Dst &lt;- MEM</t>
  </si>
  <si>
    <t>ALU_A</t>
  </si>
  <si>
    <t>INC</t>
  </si>
  <si>
    <t>DEC</t>
  </si>
  <si>
    <t>XOR</t>
  </si>
  <si>
    <t>ADD</t>
  </si>
  <si>
    <t>SUB</t>
  </si>
  <si>
    <t>NOT</t>
  </si>
  <si>
    <t>SHL</t>
  </si>
  <si>
    <t>ALU_B</t>
  </si>
  <si>
    <t>ZERO</t>
  </si>
  <si>
    <t>OPN</t>
  </si>
  <si>
    <t>DECIMAL</t>
  </si>
  <si>
    <t>BINARY</t>
  </si>
  <si>
    <t>000000</t>
  </si>
  <si>
    <t>000001</t>
  </si>
  <si>
    <t>000010</t>
  </si>
  <si>
    <t>001100</t>
  </si>
  <si>
    <t>011000</t>
  </si>
  <si>
    <t>SBB</t>
  </si>
  <si>
    <t>011001</t>
  </si>
  <si>
    <t>011010</t>
  </si>
  <si>
    <t>ADC</t>
  </si>
  <si>
    <t>100100</t>
  </si>
  <si>
    <t>100101</t>
  </si>
  <si>
    <t>101010</t>
  </si>
  <si>
    <t>101110</t>
  </si>
  <si>
    <t>110001</t>
  </si>
  <si>
    <t>111010</t>
  </si>
  <si>
    <t>111101</t>
  </si>
  <si>
    <t>Memory Truth Table</t>
  </si>
  <si>
    <t>PLD Inputs</t>
  </si>
  <si>
    <t>PLD Outputs</t>
  </si>
  <si>
    <t>Memory Bus</t>
  </si>
  <si>
    <t>Mode</t>
  </si>
  <si>
    <t>RAM</t>
  </si>
  <si>
    <t>MEM_CLK</t>
  </si>
  <si>
    <t>#MEM_OE</t>
  </si>
  <si>
    <t>#ROM_CE</t>
  </si>
  <si>
    <t>#ROM_OE</t>
  </si>
  <si>
    <t>#ROM_WE</t>
  </si>
  <si>
    <t>#RAM_CE</t>
  </si>
  <si>
    <t>#RAM_OE</t>
  </si>
  <si>
    <t>#RAM_WE</t>
  </si>
  <si>
    <t>ROM I/O</t>
  </si>
  <si>
    <t>RAM I/O</t>
  </si>
  <si>
    <t>Standby</t>
  </si>
  <si>
    <t>L</t>
  </si>
  <si>
    <t>H</t>
  </si>
  <si>
    <t>High Z</t>
  </si>
  <si>
    <t>ROM Read</t>
  </si>
  <si>
    <t>Dout</t>
  </si>
  <si>
    <t>RAM Read</t>
  </si>
  <si>
    <t>RAM Write</t>
  </si>
  <si>
    <t>Din</t>
  </si>
  <si>
    <t>ROM</t>
  </si>
  <si>
    <t>!ROM_CE</t>
  </si>
  <si>
    <t>!ROM_OE</t>
  </si>
  <si>
    <t>!ROM_WE</t>
  </si>
  <si>
    <t>!RAM_CE</t>
  </si>
  <si>
    <t>!RAM_OE</t>
  </si>
  <si>
    <t>!RAM_WE</t>
  </si>
  <si>
    <t>!MEM_d</t>
  </si>
  <si>
    <t>!MEM_oe</t>
  </si>
  <si>
    <t>!RAM</t>
  </si>
  <si>
    <t>MEM_oe</t>
  </si>
  <si>
    <t>MEM_d</t>
  </si>
  <si>
    <t>TOP PCB SIDE</t>
  </si>
  <si>
    <t>BOTTOM PCB SIDE</t>
  </si>
  <si>
    <t>Pin</t>
  </si>
  <si>
    <t>Name</t>
  </si>
  <si>
    <t>PDR-16</t>
  </si>
  <si>
    <t>Electric</t>
  </si>
  <si>
    <t>Driven By</t>
  </si>
  <si>
    <t>A1</t>
  </si>
  <si>
    <t>/I/O CH CK</t>
  </si>
  <si>
    <t> </t>
  </si>
  <si>
    <t>Open</t>
  </si>
  <si>
    <t>B1</t>
  </si>
  <si>
    <t>GND</t>
  </si>
  <si>
    <t>Gnd</t>
  </si>
  <si>
    <t>Backplane</t>
  </si>
  <si>
    <t>A2</t>
  </si>
  <si>
    <t>D7</t>
  </si>
  <si>
    <t>D07</t>
  </si>
  <si>
    <t>Pull 3V</t>
  </si>
  <si>
    <t>Various</t>
  </si>
  <si>
    <t>B2</t>
  </si>
  <si>
    <t>RESET</t>
  </si>
  <si>
    <t>A3</t>
  </si>
  <si>
    <t>D6</t>
  </si>
  <si>
    <t>D06</t>
  </si>
  <si>
    <t>B3</t>
  </si>
  <si>
    <t>+5V</t>
  </si>
  <si>
    <t>A4</t>
  </si>
  <si>
    <t>D5</t>
  </si>
  <si>
    <t>D05</t>
  </si>
  <si>
    <t>B4</t>
  </si>
  <si>
    <t>IRQ2</t>
  </si>
  <si>
    <t>A5</t>
  </si>
  <si>
    <t>D4</t>
  </si>
  <si>
    <t>D04</t>
  </si>
  <si>
    <t>B5</t>
  </si>
  <si>
    <t>-5VDC</t>
  </si>
  <si>
    <t>A6</t>
  </si>
  <si>
    <t>D3</t>
  </si>
  <si>
    <t>D03</t>
  </si>
  <si>
    <t>B6</t>
  </si>
  <si>
    <t>DRQ2</t>
  </si>
  <si>
    <t>A7</t>
  </si>
  <si>
    <t>D2</t>
  </si>
  <si>
    <t>D02</t>
  </si>
  <si>
    <t>B7</t>
  </si>
  <si>
    <t>-12VDC</t>
  </si>
  <si>
    <t>A8</t>
  </si>
  <si>
    <t>D1</t>
  </si>
  <si>
    <t>D01</t>
  </si>
  <si>
    <t>B8</t>
  </si>
  <si>
    <t>/NOWS</t>
  </si>
  <si>
    <t>A9</t>
  </si>
  <si>
    <t>D0</t>
  </si>
  <si>
    <t>D00</t>
  </si>
  <si>
    <t>B9</t>
  </si>
  <si>
    <t>+12VDC</t>
  </si>
  <si>
    <t>A10</t>
  </si>
  <si>
    <t>I/O CH RDY</t>
  </si>
  <si>
    <t>B10</t>
  </si>
  <si>
    <t>A11</t>
  </si>
  <si>
    <t>AEN</t>
  </si>
  <si>
    <t>B11</t>
  </si>
  <si>
    <t>/SMEMW</t>
  </si>
  <si>
    <t>Pullup</t>
  </si>
  <si>
    <t>A12</t>
  </si>
  <si>
    <t>A19</t>
  </si>
  <si>
    <t>B12</t>
  </si>
  <si>
    <t>/SMEMR</t>
  </si>
  <si>
    <t>A13</t>
  </si>
  <si>
    <t>A18</t>
  </si>
  <si>
    <t>B13</t>
  </si>
  <si>
    <t>/IOW</t>
  </si>
  <si>
    <t>A14</t>
  </si>
  <si>
    <t>A17</t>
  </si>
  <si>
    <t>B14</t>
  </si>
  <si>
    <t>/IOR</t>
  </si>
  <si>
    <t>A15</t>
  </si>
  <si>
    <t>A16</t>
  </si>
  <si>
    <t>B15</t>
  </si>
  <si>
    <t>/DACK3</t>
  </si>
  <si>
    <t>B16</t>
  </si>
  <si>
    <t>DRQ3</t>
  </si>
  <si>
    <t>B17</t>
  </si>
  <si>
    <t>/DACK1</t>
  </si>
  <si>
    <t>B18</t>
  </si>
  <si>
    <t>DRQ1</t>
  </si>
  <si>
    <t>B19</t>
  </si>
  <si>
    <t>/REFRESH</t>
  </si>
  <si>
    <t>A20</t>
  </si>
  <si>
    <t>B20</t>
  </si>
  <si>
    <t>CLOCK</t>
  </si>
  <si>
    <t>CLK</t>
  </si>
  <si>
    <t>A21</t>
  </si>
  <si>
    <t>B21</t>
  </si>
  <si>
    <t>IRQ7</t>
  </si>
  <si>
    <t>A22</t>
  </si>
  <si>
    <t>B22</t>
  </si>
  <si>
    <t>IRQ6</t>
  </si>
  <si>
    <t>A23</t>
  </si>
  <si>
    <t>B23</t>
  </si>
  <si>
    <t>IRQ5</t>
  </si>
  <si>
    <t>UI5</t>
  </si>
  <si>
    <t>Sequencer Reg</t>
  </si>
  <si>
    <t>A24</t>
  </si>
  <si>
    <t>B24</t>
  </si>
  <si>
    <t>IRQ4</t>
  </si>
  <si>
    <t>UI4</t>
  </si>
  <si>
    <t>A25</t>
  </si>
  <si>
    <t>B25</t>
  </si>
  <si>
    <t>IRQ3</t>
  </si>
  <si>
    <t>UI3</t>
  </si>
  <si>
    <t>A26</t>
  </si>
  <si>
    <t>B26</t>
  </si>
  <si>
    <t>/DACK2</t>
  </si>
  <si>
    <t>UI2</t>
  </si>
  <si>
    <t>A27</t>
  </si>
  <si>
    <t>B27</t>
  </si>
  <si>
    <t>T/C</t>
  </si>
  <si>
    <t>UI1</t>
  </si>
  <si>
    <t>A28</t>
  </si>
  <si>
    <t>B28</t>
  </si>
  <si>
    <t>ALE</t>
  </si>
  <si>
    <t>UI0</t>
  </si>
  <si>
    <t>A29</t>
  </si>
  <si>
    <t>B29</t>
  </si>
  <si>
    <t>A30</t>
  </si>
  <si>
    <t>B30</t>
  </si>
  <si>
    <t>OSC</t>
  </si>
  <si>
    <t>A31</t>
  </si>
  <si>
    <t>A0</t>
  </si>
  <si>
    <t>B31</t>
  </si>
  <si>
    <t>C1</t>
  </si>
  <si>
    <t>SBHE</t>
  </si>
  <si>
    <t>/MEMCS16</t>
  </si>
  <si>
    <t>C2</t>
  </si>
  <si>
    <t>LA23</t>
  </si>
  <si>
    <t>/IOCS16</t>
  </si>
  <si>
    <t>C3</t>
  </si>
  <si>
    <t>LA22</t>
  </si>
  <si>
    <t>IRQ10</t>
  </si>
  <si>
    <t>C4</t>
  </si>
  <si>
    <t>LA21</t>
  </si>
  <si>
    <t>IRQ11</t>
  </si>
  <si>
    <t>C5</t>
  </si>
  <si>
    <t>LA20</t>
  </si>
  <si>
    <t>IRQ12</t>
  </si>
  <si>
    <t>C6</t>
  </si>
  <si>
    <t>LA18</t>
  </si>
  <si>
    <t>IRQ15</t>
  </si>
  <si>
    <t>C7</t>
  </si>
  <si>
    <t>LA17</t>
  </si>
  <si>
    <t>IRQ14</t>
  </si>
  <si>
    <t>C8</t>
  </si>
  <si>
    <t>LA16</t>
  </si>
  <si>
    <t>D8</t>
  </si>
  <si>
    <t>/DACK0</t>
  </si>
  <si>
    <t>ALU_N</t>
  </si>
  <si>
    <t>ALU Board</t>
  </si>
  <si>
    <t>C9</t>
  </si>
  <si>
    <t>/MEMR</t>
  </si>
  <si>
    <t>D9</t>
  </si>
  <si>
    <t>DRQ0</t>
  </si>
  <si>
    <t>ALU_Z</t>
  </si>
  <si>
    <t>C10</t>
  </si>
  <si>
    <t>/MEMW</t>
  </si>
  <si>
    <t>D10</t>
  </si>
  <si>
    <t>/DACK5</t>
  </si>
  <si>
    <t>#ALU_C</t>
  </si>
  <si>
    <t>C11</t>
  </si>
  <si>
    <t>SD08</t>
  </si>
  <si>
    <t>D08</t>
  </si>
  <si>
    <t>D11</t>
  </si>
  <si>
    <t>DRQ5</t>
  </si>
  <si>
    <t>Register Board</t>
  </si>
  <si>
    <t>C12</t>
  </si>
  <si>
    <t>SD09</t>
  </si>
  <si>
    <t>D09</t>
  </si>
  <si>
    <t>D12</t>
  </si>
  <si>
    <t>/DACK6</t>
  </si>
  <si>
    <t>C13</t>
  </si>
  <si>
    <t>SD10</t>
  </si>
  <si>
    <t>D13</t>
  </si>
  <si>
    <t>DRQ6</t>
  </si>
  <si>
    <t>C14</t>
  </si>
  <si>
    <t>SD11</t>
  </si>
  <si>
    <t>D14</t>
  </si>
  <si>
    <t>/DACK7</t>
  </si>
  <si>
    <t>C15</t>
  </si>
  <si>
    <t>SD12</t>
  </si>
  <si>
    <t>D15</t>
  </si>
  <si>
    <t>DRQ7</t>
  </si>
  <si>
    <t>C16</t>
  </si>
  <si>
    <t>SD13</t>
  </si>
  <si>
    <t>D16</t>
  </si>
  <si>
    <t>+5 V</t>
  </si>
  <si>
    <t>C17</t>
  </si>
  <si>
    <t>SD14</t>
  </si>
  <si>
    <t>D17</t>
  </si>
  <si>
    <t>/MASTER</t>
  </si>
  <si>
    <t>C18</t>
  </si>
  <si>
    <t>SD15</t>
  </si>
  <si>
    <t>D18</t>
  </si>
  <si>
    <t>ntxrdy=1</t>
  </si>
  <si>
    <t>END_STATE</t>
  </si>
  <si>
    <t>ntxrdy=0</t>
  </si>
  <si>
    <t>count</t>
  </si>
  <si>
    <t>other</t>
  </si>
  <si>
    <t>state</t>
  </si>
  <si>
    <t>alu</t>
  </si>
  <si>
    <t>dst</t>
  </si>
  <si>
    <t>src</t>
  </si>
  <si>
    <t>CLS3</t>
  </si>
  <si>
    <t>NXT1</t>
  </si>
  <si>
    <t>NXT0</t>
  </si>
  <si>
    <t>Six bits to identify microinstruction</t>
  </si>
  <si>
    <t>Two bits to encode the next state</t>
  </si>
  <si>
    <t>Input</t>
  </si>
  <si>
    <t>Output</t>
  </si>
  <si>
    <t>Capability</t>
  </si>
  <si>
    <t>ALU</t>
  </si>
  <si>
    <t>Data Bus</t>
  </si>
  <si>
    <t>Storage only</t>
  </si>
  <si>
    <t>ALU assistant</t>
  </si>
  <si>
    <t>ALU "B"</t>
  </si>
  <si>
    <t>Instruction pointer</t>
  </si>
  <si>
    <t>Accumulator</t>
  </si>
  <si>
    <t>Word pointer</t>
  </si>
  <si>
    <t>Stack pointer</t>
  </si>
  <si>
    <t>Return stack pointer</t>
  </si>
  <si>
    <t>TOS</t>
  </si>
  <si>
    <t>Top of stack</t>
  </si>
  <si>
    <t>RTOS</t>
  </si>
  <si>
    <t>Top of return stack</t>
  </si>
  <si>
    <t>Input/Output</t>
  </si>
  <si>
    <t>Transfers with host</t>
  </si>
  <si>
    <t>IR&lt;-MEM</t>
  </si>
  <si>
    <t>IP++</t>
  </si>
  <si>
    <t>RP++</t>
  </si>
  <si>
    <t>SP++</t>
  </si>
  <si>
    <t>IP--</t>
  </si>
  <si>
    <t>RP--</t>
  </si>
  <si>
    <t>SP--</t>
  </si>
  <si>
    <t>doNEXT</t>
  </si>
  <si>
    <t>Complete this loop iteration</t>
  </si>
  <si>
    <t>Push the address of this variable</t>
  </si>
  <si>
    <t>Reg++</t>
  </si>
  <si>
    <t>Reg--</t>
  </si>
  <si>
    <t>MUL</t>
  </si>
  <si>
    <t>RTOS++</t>
  </si>
  <si>
    <t>RTOS--</t>
  </si>
  <si>
    <t>TMP</t>
  </si>
  <si>
    <t>TOS &lt;- Src</t>
  </si>
  <si>
    <t>Dst &lt;- TOS</t>
  </si>
  <si>
    <t>TOS&lt;-(Binary|Unary)</t>
  </si>
  <si>
    <t>MULSTL</t>
  </si>
  <si>
    <t>MULSTH</t>
  </si>
  <si>
    <t>MULSHIFT</t>
  </si>
  <si>
    <t>MULADDL</t>
  </si>
  <si>
    <t>MAR&lt;-SP+1</t>
  </si>
  <si>
    <t>TOS++</t>
  </si>
  <si>
    <t>TOS--</t>
  </si>
  <si>
    <t>XTALO&lt;-TOS</t>
  </si>
  <si>
    <t>XTAHI&lt;-TOS</t>
  </si>
  <si>
    <t>XTIOW</t>
  </si>
  <si>
    <t>XTIOR</t>
  </si>
  <si>
    <t>XTADRW</t>
  </si>
  <si>
    <t>XTADRR</t>
  </si>
  <si>
    <t>TOS&lt;-IO</t>
  </si>
  <si>
    <t>IO&lt;-TOS</t>
  </si>
  <si>
    <t>SHR</t>
  </si>
  <si>
    <t>MULLD</t>
  </si>
  <si>
    <t>TOS&lt;-XTD</t>
  </si>
  <si>
    <t>XTD&lt;-TOS</t>
  </si>
  <si>
    <t>TOS&lt;-INT#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</si>
</sst>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8"/>
      <name val="Aptos Narrow"/>
      <family val="2"/>
      <scheme val="minor"/>
    </font>
    <font>
      <b/>
      <sz val="13.5"/>
      <color rgb="FFFFFFFF"/>
      <name val="Arial"/>
      <family val="2"/>
    </font>
    <font>
      <sz val="13.5"/>
      <color rgb="FF777777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9A9A9"/>
        <bgColor rgb="FF000000"/>
      </patternFill>
    </fill>
  </fills>
  <borders count="2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</cellStyleXfs>
  <cellXfs count="5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1" fillId="0" borderId="2" xfId="0" applyFont="1" applyBorder="1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" fillId="4" borderId="3" xfId="3" applyBorder="1"/>
    <xf numFmtId="0" fontId="2" fillId="2" borderId="1" xfId="1" applyBorder="1" applyAlignment="1">
      <alignment horizontal="center"/>
    </xf>
    <xf numFmtId="0" fontId="4" fillId="4" borderId="1" xfId="3" applyBorder="1" applyAlignment="1">
      <alignment horizontal="center"/>
    </xf>
    <xf numFmtId="0" fontId="4" fillId="4" borderId="3" xfId="3" applyBorder="1" applyAlignment="1">
      <alignment horizontal="center"/>
    </xf>
    <xf numFmtId="0" fontId="0" fillId="0" borderId="4" xfId="0" applyBorder="1"/>
    <xf numFmtId="0" fontId="3" fillId="3" borderId="0" xfId="2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/>
    <xf numFmtId="0" fontId="4" fillId="4" borderId="9" xfId="3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6" fillId="5" borderId="1" xfId="0" applyFont="1" applyFill="1" applyBorder="1"/>
    <xf numFmtId="0" fontId="6" fillId="5" borderId="4" xfId="0" applyFont="1" applyFill="1" applyBorder="1"/>
    <xf numFmtId="0" fontId="7" fillId="0" borderId="13" xfId="0" applyFont="1" applyBorder="1"/>
    <xf numFmtId="0" fontId="7" fillId="0" borderId="14" xfId="0" applyFont="1" applyBorder="1"/>
    <xf numFmtId="0" fontId="7" fillId="0" borderId="14" xfId="0" quotePrefix="1" applyFont="1" applyBorder="1"/>
    <xf numFmtId="0" fontId="6" fillId="5" borderId="15" xfId="0" applyFont="1" applyFill="1" applyBorder="1"/>
    <xf numFmtId="0" fontId="7" fillId="0" borderId="16" xfId="0" applyFont="1" applyBorder="1"/>
    <xf numFmtId="0" fontId="0" fillId="0" borderId="19" xfId="0" applyBorder="1"/>
    <xf numFmtId="0" fontId="0" fillId="0" borderId="21" xfId="0" applyBorder="1" applyAlignment="1">
      <alignment horizontal="left" vertical="center"/>
    </xf>
    <xf numFmtId="0" fontId="0" fillId="0" borderId="21" xfId="0" applyBorder="1"/>
    <xf numFmtId="0" fontId="0" fillId="0" borderId="22" xfId="0" applyBorder="1"/>
    <xf numFmtId="0" fontId="0" fillId="0" borderId="1" xfId="0" applyBorder="1" applyAlignment="1">
      <alignment horizontal="center"/>
    </xf>
    <xf numFmtId="0" fontId="2" fillId="2" borderId="14" xfId="1" applyBorder="1"/>
    <xf numFmtId="0" fontId="0" fillId="0" borderId="11" xfId="0" applyBorder="1"/>
    <xf numFmtId="0" fontId="3" fillId="3" borderId="9" xfId="2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3" borderId="0" xfId="2" applyBorder="1"/>
    <xf numFmtId="0" fontId="3" fillId="3" borderId="0" xfId="2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8" xfId="0" applyBorder="1" applyAlignment="1">
      <alignment horizontal="center"/>
    </xf>
    <xf numFmtId="0" fontId="4" fillId="4" borderId="8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right"/>
    </xf>
    <xf numFmtId="0" fontId="2" fillId="2" borderId="5" xfId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4" borderId="6" xfId="3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5" borderId="18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3" fillId="3" borderId="11" xfId="2" applyBorder="1"/>
    <xf numFmtId="0" fontId="3" fillId="3" borderId="11" xfId="2" applyBorder="1" applyAlignment="1">
      <alignment horizontal="center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152399</xdr:colOff>
      <xdr:row>0</xdr:row>
      <xdr:rowOff>0</xdr:rowOff>
    </xdr:from>
    <xdr:to>
      <xdr:col>14</xdr:col>
      <xdr:colOff>230163</xdr:colOff>
      <xdr:row>21</xdr:row>
      <xdr:rowOff>114662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E5A575-37A3-4B26-908D-EC5E9410E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26266" y="0"/>
          <a:ext cx="6512430" cy="39373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333375</xdr:colOff>
      <xdr:row>8</xdr:row>
      <xdr:rowOff>161925</xdr:rowOff>
    </xdr:from>
    <xdr:to>
      <xdr:col>7</xdr:col>
      <xdr:colOff>47625</xdr:colOff>
      <xdr:row>14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8D9333-1BB4-24FD-4DE2-4BFA4609E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3375" y="1685925"/>
          <a:ext cx="4572000" cy="1038225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15</xdr:row>
      <xdr:rowOff>171450</xdr:rowOff>
    </xdr:from>
    <xdr:to>
      <xdr:col>7</xdr:col>
      <xdr:colOff>66675</xdr:colOff>
      <xdr:row>25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02EACFB-5A6F-EC05-8F9A-F24336728D0A}"/>
            </a:ext>
            <a:ext uri="{147F2762-F138-4A5C-976F-8EAC2B608ADB}">
              <a16:predDERef xmlns:a16="http://schemas.microsoft.com/office/drawing/2014/main" pred="{6A8D9333-1BB4-24FD-4DE2-4BFA4609E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2425" y="3028950"/>
          <a:ext cx="4572000" cy="175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8C3EC-C222-4B71-AEFA-5EDECC6572F7}">
  <sheetPr codeName="Sheet1"/>
  <dimension ref="A1:D33"/>
  <sheetViews>
    <sheetView topLeftCell="A15" workbookViewId="0">
      <selection activeCell="D34" sqref="D34"/>
    </sheetView>
  </sheetViews>
  <sheetFormatPr defaultRowHeight="14.35" x14ac:dyDescent="0.5"/>
  <cols>
    <col min="2" max="2" width="10.87890625" customWidth="1"/>
    <col min="3" max="3" width="9.29296875" bestFit="1" customWidth="1"/>
    <col min="4" max="4" width="73.41015625" customWidth="1"/>
  </cols>
  <sheetData>
    <row r="1" spans="1:4" x14ac:dyDescent="0.5">
      <c r="A1" t="s">
        <v>0</v>
      </c>
      <c r="B1" t="s">
        <v>1</v>
      </c>
      <c r="C1" t="s">
        <v>2</v>
      </c>
      <c r="D1" t="s">
        <v>3</v>
      </c>
    </row>
    <row r="2" spans="1:4" x14ac:dyDescent="0.5">
      <c r="A2">
        <v>0</v>
      </c>
      <c r="B2" t="str">
        <f t="shared" ref="B2:B33" si="0">DEC2BIN(A2,5)</f>
        <v>00000</v>
      </c>
      <c r="C2" t="s">
        <v>4</v>
      </c>
    </row>
    <row r="3" spans="1:4" x14ac:dyDescent="0.5">
      <c r="A3">
        <v>1</v>
      </c>
      <c r="B3" t="str">
        <f t="shared" si="0"/>
        <v>00001</v>
      </c>
      <c r="C3" t="s">
        <v>5</v>
      </c>
      <c r="D3" t="s">
        <v>6</v>
      </c>
    </row>
    <row r="4" spans="1:4" x14ac:dyDescent="0.5">
      <c r="A4">
        <v>2</v>
      </c>
      <c r="B4" t="str">
        <f t="shared" si="0"/>
        <v>00010</v>
      </c>
      <c r="C4" t="s">
        <v>7</v>
      </c>
      <c r="D4" t="s">
        <v>8</v>
      </c>
    </row>
    <row r="5" spans="1:4" x14ac:dyDescent="0.5">
      <c r="A5">
        <v>3</v>
      </c>
      <c r="B5" t="str">
        <f t="shared" si="0"/>
        <v>00011</v>
      </c>
      <c r="C5" t="s">
        <v>427</v>
      </c>
      <c r="D5" t="s">
        <v>428</v>
      </c>
    </row>
    <row r="6" spans="1:4" x14ac:dyDescent="0.5">
      <c r="A6">
        <v>4</v>
      </c>
      <c r="B6" t="str">
        <f t="shared" si="0"/>
        <v>00100</v>
      </c>
      <c r="C6" t="s">
        <v>9</v>
      </c>
      <c r="D6" t="s">
        <v>10</v>
      </c>
    </row>
    <row r="7" spans="1:4" x14ac:dyDescent="0.5">
      <c r="A7">
        <v>5</v>
      </c>
      <c r="B7" t="str">
        <f t="shared" si="0"/>
        <v>00101</v>
      </c>
      <c r="C7" t="s">
        <v>11</v>
      </c>
      <c r="D7" t="s">
        <v>12</v>
      </c>
    </row>
    <row r="8" spans="1:4" x14ac:dyDescent="0.5">
      <c r="A8">
        <v>6</v>
      </c>
      <c r="B8" t="str">
        <f t="shared" si="0"/>
        <v>00110</v>
      </c>
      <c r="C8" t="s">
        <v>13</v>
      </c>
      <c r="D8" t="s">
        <v>429</v>
      </c>
    </row>
    <row r="9" spans="1:4" x14ac:dyDescent="0.5">
      <c r="A9">
        <v>7</v>
      </c>
      <c r="B9" t="str">
        <f t="shared" si="0"/>
        <v>00111</v>
      </c>
      <c r="C9" t="s">
        <v>14</v>
      </c>
      <c r="D9" t="s">
        <v>15</v>
      </c>
    </row>
    <row r="10" spans="1:4" x14ac:dyDescent="0.5">
      <c r="A10">
        <v>8</v>
      </c>
      <c r="B10" t="str">
        <f t="shared" si="0"/>
        <v>01000</v>
      </c>
      <c r="C10" t="s">
        <v>16</v>
      </c>
      <c r="D10" t="s">
        <v>17</v>
      </c>
    </row>
    <row r="11" spans="1:4" x14ac:dyDescent="0.5">
      <c r="A11">
        <v>9</v>
      </c>
      <c r="B11" t="str">
        <f t="shared" si="0"/>
        <v>01001</v>
      </c>
      <c r="C11" t="s">
        <v>18</v>
      </c>
      <c r="D11" t="s">
        <v>19</v>
      </c>
    </row>
    <row r="12" spans="1:4" x14ac:dyDescent="0.5">
      <c r="A12">
        <v>10</v>
      </c>
      <c r="B12" t="str">
        <f t="shared" si="0"/>
        <v>01010</v>
      </c>
      <c r="C12" t="s">
        <v>20</v>
      </c>
      <c r="D12" t="s">
        <v>21</v>
      </c>
    </row>
    <row r="13" spans="1:4" x14ac:dyDescent="0.5">
      <c r="A13">
        <v>11</v>
      </c>
      <c r="B13" t="str">
        <f t="shared" si="0"/>
        <v>01011</v>
      </c>
      <c r="C13" t="s">
        <v>22</v>
      </c>
      <c r="D13" t="s">
        <v>23</v>
      </c>
    </row>
    <row r="14" spans="1:4" x14ac:dyDescent="0.5">
      <c r="A14">
        <v>12</v>
      </c>
      <c r="B14" t="str">
        <f t="shared" si="0"/>
        <v>01100</v>
      </c>
      <c r="C14" t="s">
        <v>24</v>
      </c>
      <c r="D14" t="s">
        <v>25</v>
      </c>
    </row>
    <row r="15" spans="1:4" x14ac:dyDescent="0.5">
      <c r="A15">
        <v>13</v>
      </c>
      <c r="B15" t="str">
        <f t="shared" si="0"/>
        <v>01101</v>
      </c>
      <c r="C15" t="s">
        <v>26</v>
      </c>
      <c r="D15" t="s">
        <v>27</v>
      </c>
    </row>
    <row r="16" spans="1:4" x14ac:dyDescent="0.5">
      <c r="A16">
        <v>14</v>
      </c>
      <c r="B16" t="str">
        <f t="shared" si="0"/>
        <v>01110</v>
      </c>
      <c r="C16" t="s">
        <v>28</v>
      </c>
      <c r="D16" t="s">
        <v>29</v>
      </c>
    </row>
    <row r="17" spans="1:4" x14ac:dyDescent="0.5">
      <c r="A17">
        <v>15</v>
      </c>
      <c r="B17" t="str">
        <f t="shared" si="0"/>
        <v>01111</v>
      </c>
      <c r="C17" t="s">
        <v>30</v>
      </c>
      <c r="D17" t="s">
        <v>31</v>
      </c>
    </row>
    <row r="18" spans="1:4" x14ac:dyDescent="0.5">
      <c r="A18">
        <v>16</v>
      </c>
      <c r="B18" t="str">
        <f t="shared" si="0"/>
        <v>10000</v>
      </c>
      <c r="C18" t="s">
        <v>32</v>
      </c>
      <c r="D18" t="s">
        <v>33</v>
      </c>
    </row>
    <row r="19" spans="1:4" x14ac:dyDescent="0.5">
      <c r="A19">
        <v>17</v>
      </c>
      <c r="B19" t="str">
        <f t="shared" si="0"/>
        <v>10001</v>
      </c>
      <c r="C19" t="s">
        <v>34</v>
      </c>
      <c r="D19" t="s">
        <v>35</v>
      </c>
    </row>
    <row r="20" spans="1:4" x14ac:dyDescent="0.5">
      <c r="A20">
        <v>18</v>
      </c>
      <c r="B20" t="str">
        <f t="shared" si="0"/>
        <v>10010</v>
      </c>
      <c r="C20" t="s">
        <v>36</v>
      </c>
      <c r="D20" t="s">
        <v>37</v>
      </c>
    </row>
    <row r="21" spans="1:4" x14ac:dyDescent="0.5">
      <c r="A21">
        <v>19</v>
      </c>
      <c r="B21" t="str">
        <f t="shared" si="0"/>
        <v>10011</v>
      </c>
      <c r="C21" t="s">
        <v>38</v>
      </c>
      <c r="D21" t="s">
        <v>39</v>
      </c>
    </row>
    <row r="22" spans="1:4" x14ac:dyDescent="0.5">
      <c r="A22">
        <v>20</v>
      </c>
      <c r="B22" t="str">
        <f t="shared" si="0"/>
        <v>10100</v>
      </c>
      <c r="C22" t="s">
        <v>40</v>
      </c>
      <c r="D22" t="s">
        <v>41</v>
      </c>
    </row>
    <row r="23" spans="1:4" x14ac:dyDescent="0.5">
      <c r="A23">
        <v>21</v>
      </c>
      <c r="B23" t="str">
        <f t="shared" si="0"/>
        <v>10101</v>
      </c>
      <c r="C23" t="s">
        <v>42</v>
      </c>
      <c r="D23" t="s">
        <v>43</v>
      </c>
    </row>
    <row r="24" spans="1:4" x14ac:dyDescent="0.5">
      <c r="A24">
        <v>22</v>
      </c>
      <c r="B24" t="str">
        <f t="shared" si="0"/>
        <v>10110</v>
      </c>
      <c r="C24" t="s">
        <v>44</v>
      </c>
      <c r="D24" t="s">
        <v>45</v>
      </c>
    </row>
    <row r="25" spans="1:4" x14ac:dyDescent="0.5">
      <c r="A25">
        <v>23</v>
      </c>
      <c r="B25" t="str">
        <f t="shared" si="0"/>
        <v>10111</v>
      </c>
      <c r="C25" t="s">
        <v>46</v>
      </c>
      <c r="D25" t="s">
        <v>47</v>
      </c>
    </row>
    <row r="26" spans="1:4" x14ac:dyDescent="0.5">
      <c r="A26">
        <v>24</v>
      </c>
      <c r="B26" t="str">
        <f t="shared" si="0"/>
        <v>11000</v>
      </c>
      <c r="C26" t="s">
        <v>48</v>
      </c>
      <c r="D26" t="s">
        <v>49</v>
      </c>
    </row>
    <row r="27" spans="1:4" x14ac:dyDescent="0.5">
      <c r="A27">
        <v>25</v>
      </c>
      <c r="B27" t="str">
        <f t="shared" si="0"/>
        <v>11001</v>
      </c>
      <c r="C27" t="s">
        <v>50</v>
      </c>
      <c r="D27" t="s">
        <v>51</v>
      </c>
    </row>
    <row r="28" spans="1:4" x14ac:dyDescent="0.5">
      <c r="A28">
        <v>26</v>
      </c>
      <c r="B28" t="str">
        <f t="shared" si="0"/>
        <v>11010</v>
      </c>
      <c r="C28" t="s">
        <v>52</v>
      </c>
      <c r="D28" t="s">
        <v>53</v>
      </c>
    </row>
    <row r="29" spans="1:4" x14ac:dyDescent="0.5">
      <c r="A29">
        <v>27</v>
      </c>
      <c r="B29" t="str">
        <f t="shared" si="0"/>
        <v>11011</v>
      </c>
      <c r="C29" t="s">
        <v>54</v>
      </c>
      <c r="D29" t="s">
        <v>55</v>
      </c>
    </row>
    <row r="30" spans="1:4" x14ac:dyDescent="0.5">
      <c r="A30">
        <v>28</v>
      </c>
      <c r="B30" t="str">
        <f t="shared" si="0"/>
        <v>11100</v>
      </c>
      <c r="C30" t="s">
        <v>56</v>
      </c>
      <c r="D30" t="s">
        <v>57</v>
      </c>
    </row>
    <row r="31" spans="1:4" x14ac:dyDescent="0.5">
      <c r="A31">
        <v>29</v>
      </c>
      <c r="B31" t="str">
        <f t="shared" si="0"/>
        <v>11101</v>
      </c>
      <c r="C31" t="s">
        <v>58</v>
      </c>
      <c r="D31" t="s">
        <v>59</v>
      </c>
    </row>
    <row r="32" spans="1:4" x14ac:dyDescent="0.5">
      <c r="A32">
        <v>30</v>
      </c>
      <c r="B32" t="str">
        <f t="shared" si="0"/>
        <v>11110</v>
      </c>
      <c r="C32" t="s">
        <v>60</v>
      </c>
      <c r="D32" t="s">
        <v>61</v>
      </c>
    </row>
    <row r="33" spans="1:4" x14ac:dyDescent="0.5">
      <c r="A33">
        <v>31</v>
      </c>
      <c r="B33" t="str">
        <f t="shared" si="0"/>
        <v>11111</v>
      </c>
      <c r="C33" t="s">
        <v>62</v>
      </c>
      <c r="D33" t="s">
        <v>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A55D7-032A-4C9C-8278-95819AAB25B7}">
  <sheetPr codeName="Sheet2"/>
  <dimension ref="A1:C22"/>
  <sheetViews>
    <sheetView workbookViewId="0">
      <selection activeCell="A11" sqref="A11"/>
    </sheetView>
  </sheetViews>
  <sheetFormatPr defaultRowHeight="14.35" x14ac:dyDescent="0.5"/>
  <cols>
    <col min="1" max="1" width="5.703125" style="2" customWidth="1"/>
    <col min="2" max="2" width="11.5859375" customWidth="1"/>
    <col min="3" max="3" width="39" customWidth="1"/>
  </cols>
  <sheetData>
    <row r="1" spans="1:3" x14ac:dyDescent="0.5">
      <c r="A1" s="34" t="s">
        <v>64</v>
      </c>
      <c r="B1" s="3" t="s">
        <v>65</v>
      </c>
      <c r="C1" s="3" t="s">
        <v>66</v>
      </c>
    </row>
    <row r="2" spans="1:3" x14ac:dyDescent="0.5">
      <c r="A2" s="34">
        <v>14</v>
      </c>
      <c r="B2" s="4" t="s">
        <v>67</v>
      </c>
      <c r="C2" s="5" t="s">
        <v>68</v>
      </c>
    </row>
    <row r="3" spans="1:3" x14ac:dyDescent="0.5">
      <c r="A3" s="34">
        <v>13</v>
      </c>
      <c r="B3" s="4" t="s">
        <v>69</v>
      </c>
      <c r="C3" s="6"/>
    </row>
    <row r="4" spans="1:3" x14ac:dyDescent="0.5">
      <c r="A4" s="34">
        <v>12</v>
      </c>
      <c r="B4" s="4" t="s">
        <v>70</v>
      </c>
      <c r="C4" s="6"/>
    </row>
    <row r="5" spans="1:3" x14ac:dyDescent="0.5">
      <c r="A5" s="34">
        <v>11</v>
      </c>
      <c r="B5" s="4" t="s">
        <v>71</v>
      </c>
      <c r="C5" s="6"/>
    </row>
    <row r="6" spans="1:3" x14ac:dyDescent="0.5">
      <c r="A6" s="34">
        <v>10</v>
      </c>
      <c r="B6" s="4" t="s">
        <v>72</v>
      </c>
      <c r="C6" s="6"/>
    </row>
    <row r="7" spans="1:3" x14ac:dyDescent="0.5">
      <c r="A7" s="34">
        <v>9</v>
      </c>
      <c r="B7" s="4" t="s">
        <v>73</v>
      </c>
      <c r="C7" s="4" t="s">
        <v>74</v>
      </c>
    </row>
    <row r="8" spans="1:3" x14ac:dyDescent="0.5">
      <c r="A8" s="34">
        <v>8</v>
      </c>
      <c r="B8" s="4" t="s">
        <v>75</v>
      </c>
      <c r="C8" s="4"/>
    </row>
    <row r="9" spans="1:3" x14ac:dyDescent="0.5">
      <c r="A9" s="34">
        <v>7</v>
      </c>
      <c r="B9" s="4" t="s">
        <v>76</v>
      </c>
      <c r="C9" s="4"/>
    </row>
    <row r="10" spans="1:3" x14ac:dyDescent="0.5">
      <c r="A10" s="34">
        <v>6</v>
      </c>
      <c r="B10" s="4" t="s">
        <v>77</v>
      </c>
      <c r="C10" s="4"/>
    </row>
    <row r="11" spans="1:3" x14ac:dyDescent="0.5">
      <c r="A11" s="34">
        <v>5</v>
      </c>
      <c r="B11" s="4" t="s">
        <v>78</v>
      </c>
      <c r="C11" s="4"/>
    </row>
    <row r="12" spans="1:3" x14ac:dyDescent="0.5">
      <c r="A12" s="34">
        <v>4</v>
      </c>
      <c r="B12" s="4" t="s">
        <v>79</v>
      </c>
      <c r="C12" s="5"/>
    </row>
    <row r="13" spans="1:3" x14ac:dyDescent="0.5">
      <c r="A13" s="34">
        <v>3</v>
      </c>
      <c r="B13" s="3" t="s">
        <v>80</v>
      </c>
      <c r="C13" s="4" t="s">
        <v>81</v>
      </c>
    </row>
    <row r="14" spans="1:3" x14ac:dyDescent="0.5">
      <c r="A14" s="34">
        <v>2</v>
      </c>
      <c r="B14" s="3" t="s">
        <v>82</v>
      </c>
      <c r="C14" s="4" t="s">
        <v>83</v>
      </c>
    </row>
    <row r="15" spans="1:3" x14ac:dyDescent="0.5">
      <c r="A15" s="34">
        <v>1</v>
      </c>
      <c r="B15" s="3" t="s">
        <v>84</v>
      </c>
      <c r="C15" s="4" t="s">
        <v>85</v>
      </c>
    </row>
    <row r="16" spans="1:3" x14ac:dyDescent="0.5">
      <c r="A16" s="34">
        <v>0</v>
      </c>
      <c r="B16" s="3" t="s">
        <v>86</v>
      </c>
      <c r="C16" s="4" t="s">
        <v>87</v>
      </c>
    </row>
    <row r="17" spans="2:3" x14ac:dyDescent="0.5">
      <c r="B17" s="2"/>
      <c r="C17" s="8"/>
    </row>
    <row r="18" spans="2:3" x14ac:dyDescent="0.5">
      <c r="B18" s="2"/>
      <c r="C18" s="8"/>
    </row>
    <row r="19" spans="2:3" x14ac:dyDescent="0.5">
      <c r="B19" s="2"/>
      <c r="C19" s="8"/>
    </row>
    <row r="20" spans="2:3" x14ac:dyDescent="0.5">
      <c r="B20" s="2"/>
    </row>
    <row r="21" spans="2:3" x14ac:dyDescent="0.5">
      <c r="B21" s="2"/>
    </row>
    <row r="22" spans="2:3" x14ac:dyDescent="0.5">
      <c r="B2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45DA-9E97-4F3F-BA49-1CF0409086CE}">
  <sheetPr codeName="Sheet3"/>
  <dimension ref="A1:D9"/>
  <sheetViews>
    <sheetView workbookViewId="0">
      <pane ySplit="1" topLeftCell="A2" activePane="bottomLeft" state="frozen"/>
      <selection pane="bottomLeft" activeCell="D10" sqref="D10"/>
    </sheetView>
  </sheetViews>
  <sheetFormatPr defaultRowHeight="14.35" x14ac:dyDescent="0.5"/>
  <cols>
    <col min="3" max="3" width="14.41015625" customWidth="1"/>
    <col min="4" max="4" width="71.703125" customWidth="1"/>
  </cols>
  <sheetData>
    <row r="1" spans="1:4" s="1" customFormat="1" ht="14.7" thickBot="1" x14ac:dyDescent="0.55000000000000004">
      <c r="B1" s="7" t="s">
        <v>64</v>
      </c>
      <c r="C1" s="7" t="s">
        <v>88</v>
      </c>
      <c r="D1" s="7" t="s">
        <v>89</v>
      </c>
    </row>
    <row r="2" spans="1:4" ht="14.7" thickBot="1" x14ac:dyDescent="0.55000000000000004">
      <c r="A2" s="50" t="s">
        <v>172</v>
      </c>
      <c r="B2" s="30">
        <v>7</v>
      </c>
      <c r="C2" s="12" t="s">
        <v>397</v>
      </c>
      <c r="D2" s="32" t="s">
        <v>400</v>
      </c>
    </row>
    <row r="3" spans="1:4" ht="14.7" thickBot="1" x14ac:dyDescent="0.55000000000000004">
      <c r="A3" s="50"/>
      <c r="B3" s="16">
        <v>6</v>
      </c>
      <c r="C3" s="12" t="s">
        <v>398</v>
      </c>
      <c r="D3" s="31"/>
    </row>
    <row r="4" spans="1:4" ht="14.7" thickBot="1" x14ac:dyDescent="0.55000000000000004">
      <c r="A4" s="50"/>
      <c r="B4" s="16">
        <v>5</v>
      </c>
      <c r="C4" s="12" t="s">
        <v>396</v>
      </c>
      <c r="D4" s="31" t="s">
        <v>399</v>
      </c>
    </row>
    <row r="5" spans="1:4" ht="14.7" thickBot="1" x14ac:dyDescent="0.55000000000000004">
      <c r="A5" s="50"/>
      <c r="B5" s="16">
        <v>4</v>
      </c>
      <c r="C5" s="12" t="s">
        <v>90</v>
      </c>
      <c r="D5" s="31"/>
    </row>
    <row r="6" spans="1:4" ht="14.7" thickBot="1" x14ac:dyDescent="0.55000000000000004">
      <c r="A6" s="50"/>
      <c r="B6" s="16">
        <v>3</v>
      </c>
      <c r="C6" s="12" t="s">
        <v>91</v>
      </c>
      <c r="D6" s="32"/>
    </row>
    <row r="7" spans="1:4" ht="14.7" thickBot="1" x14ac:dyDescent="0.55000000000000004">
      <c r="A7" s="50"/>
      <c r="B7" s="16">
        <v>2</v>
      </c>
      <c r="C7" s="12" t="s">
        <v>92</v>
      </c>
      <c r="D7" s="32"/>
    </row>
    <row r="8" spans="1:4" ht="14.7" thickBot="1" x14ac:dyDescent="0.55000000000000004">
      <c r="A8" s="50"/>
      <c r="B8" s="16">
        <v>1</v>
      </c>
      <c r="C8" s="12" t="s">
        <v>93</v>
      </c>
      <c r="D8" s="32"/>
    </row>
    <row r="9" spans="1:4" ht="14.7" thickBot="1" x14ac:dyDescent="0.55000000000000004">
      <c r="A9" s="50"/>
      <c r="B9" s="33">
        <v>0</v>
      </c>
      <c r="C9" s="12" t="s">
        <v>94</v>
      </c>
      <c r="D9" s="31"/>
    </row>
  </sheetData>
  <mergeCells count="1">
    <mergeCell ref="A2:A9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BEFF2-468B-491E-8DF0-779112BC1276}">
  <sheetPr codeName="Sheet5">
    <pageSetUpPr fitToPage="1"/>
  </sheetPr>
  <dimension ref="A1:Q11"/>
  <sheetViews>
    <sheetView tabSelected="1" zoomScaleNormal="100" workbookViewId="0">
      <selection activeCell="D11" sqref="D11"/>
    </sheetView>
  </sheetViews>
  <sheetFormatPr defaultRowHeight="14.35" x14ac:dyDescent="0.5"/>
  <cols>
    <col min="1" max="1" width="19.29296875" customWidth="1"/>
    <col min="2" max="2" width="3.87890625" style="2" customWidth="1"/>
    <col min="3" max="3" width="6" style="2" customWidth="1"/>
    <col min="4" max="11" width="10.64453125" customWidth="1"/>
    <col min="12" max="13" width="5" customWidth="1"/>
    <col min="17" max="17" width="5.29296875" style="2" customWidth="1"/>
    <col min="18" max="23" width="5.29296875" customWidth="1"/>
  </cols>
  <sheetData>
    <row r="1" spans="1:11" x14ac:dyDescent="0.5">
      <c r="D1" s="2" t="s">
        <v>414</v>
      </c>
      <c r="E1" s="2" t="s">
        <v>435</v>
      </c>
      <c r="F1" s="2" t="s">
        <v>98</v>
      </c>
      <c r="G1" s="2" t="s">
        <v>416</v>
      </c>
      <c r="H1" s="2" t="s">
        <v>100</v>
      </c>
      <c r="I1" s="2" t="s">
        <v>101</v>
      </c>
      <c r="J1" s="2" t="s">
        <v>102</v>
      </c>
      <c r="K1" s="2" t="s">
        <v>103</v>
      </c>
    </row>
    <row r="2" spans="1:11" x14ac:dyDescent="0.5">
      <c r="D2" s="2">
        <v>0</v>
      </c>
      <c r="E2" s="2">
        <v>1</v>
      </c>
      <c r="F2" s="2">
        <v>2</v>
      </c>
      <c r="G2" s="2">
        <v>3</v>
      </c>
      <c r="H2" s="2">
        <v>4</v>
      </c>
      <c r="I2" s="2">
        <v>5</v>
      </c>
      <c r="J2" s="2">
        <v>6</v>
      </c>
      <c r="K2" s="2">
        <v>7</v>
      </c>
    </row>
    <row r="3" spans="1:11" ht="14.7" thickBot="1" x14ac:dyDescent="0.55000000000000004">
      <c r="A3" t="s">
        <v>107</v>
      </c>
      <c r="C3" s="2" t="s">
        <v>106</v>
      </c>
      <c r="D3" s="41" t="s">
        <v>108</v>
      </c>
      <c r="E3" s="41" t="s">
        <v>109</v>
      </c>
      <c r="F3" s="41" t="s">
        <v>110</v>
      </c>
      <c r="G3" s="41" t="s">
        <v>111</v>
      </c>
      <c r="H3" s="41" t="s">
        <v>112</v>
      </c>
      <c r="I3" s="41" t="s">
        <v>113</v>
      </c>
      <c r="J3" s="41" t="s">
        <v>114</v>
      </c>
      <c r="K3" s="41" t="s">
        <v>115</v>
      </c>
    </row>
    <row r="4" spans="1:11" x14ac:dyDescent="0.5">
      <c r="A4" s="45" t="s">
        <v>436</v>
      </c>
      <c r="B4" s="2">
        <v>0</v>
      </c>
      <c r="C4" s="41" t="s">
        <v>108</v>
      </c>
      <c r="D4" s="46" t="s">
        <v>4</v>
      </c>
      <c r="E4" s="47"/>
      <c r="F4" s="47"/>
      <c r="G4" s="47"/>
      <c r="H4" s="47"/>
      <c r="I4" s="47"/>
      <c r="J4" s="48" t="s">
        <v>452</v>
      </c>
      <c r="K4" s="49"/>
    </row>
    <row r="5" spans="1:11" x14ac:dyDescent="0.5">
      <c r="A5" s="45" t="s">
        <v>437</v>
      </c>
      <c r="B5" s="2">
        <v>1</v>
      </c>
      <c r="C5" s="41" t="s">
        <v>109</v>
      </c>
      <c r="D5" s="43" t="s">
        <v>453</v>
      </c>
      <c r="E5" s="38"/>
      <c r="F5" s="38"/>
      <c r="G5" s="38"/>
      <c r="H5" s="38"/>
      <c r="I5" s="38"/>
      <c r="J5" s="38"/>
      <c r="K5" s="18"/>
    </row>
    <row r="6" spans="1:11" x14ac:dyDescent="0.5">
      <c r="A6" s="45" t="s">
        <v>116</v>
      </c>
      <c r="B6" s="2">
        <v>2</v>
      </c>
      <c r="C6" s="41" t="s">
        <v>110</v>
      </c>
      <c r="D6" s="44"/>
      <c r="E6" s="40" t="s">
        <v>458</v>
      </c>
      <c r="F6" s="38"/>
      <c r="G6" s="38"/>
      <c r="H6" s="38"/>
      <c r="I6" s="38"/>
      <c r="J6" s="17" t="s">
        <v>443</v>
      </c>
      <c r="K6" s="18"/>
    </row>
    <row r="7" spans="1:11" x14ac:dyDescent="0.5">
      <c r="A7" s="45" t="s">
        <v>117</v>
      </c>
      <c r="B7" s="2">
        <v>3</v>
      </c>
      <c r="C7" s="41" t="s">
        <v>111</v>
      </c>
      <c r="D7" s="44"/>
      <c r="E7" s="38"/>
      <c r="F7" s="38"/>
      <c r="G7" s="38"/>
      <c r="H7" s="38"/>
      <c r="I7" s="38"/>
      <c r="J7" s="38"/>
      <c r="K7" s="20" t="s">
        <v>420</v>
      </c>
    </row>
    <row r="8" spans="1:11" x14ac:dyDescent="0.5">
      <c r="A8" s="45" t="s">
        <v>430</v>
      </c>
      <c r="B8" s="2">
        <v>4</v>
      </c>
      <c r="C8" s="41" t="s">
        <v>112</v>
      </c>
      <c r="D8" s="43" t="s">
        <v>444</v>
      </c>
      <c r="E8" s="39" t="s">
        <v>448</v>
      </c>
      <c r="F8" s="38" t="s">
        <v>421</v>
      </c>
      <c r="G8" s="38" t="s">
        <v>433</v>
      </c>
      <c r="H8" s="38" t="s">
        <v>422</v>
      </c>
      <c r="I8" s="38" t="s">
        <v>423</v>
      </c>
      <c r="J8" s="39" t="s">
        <v>446</v>
      </c>
      <c r="K8" s="37" t="s">
        <v>450</v>
      </c>
    </row>
    <row r="9" spans="1:11" x14ac:dyDescent="0.5">
      <c r="A9" s="45" t="s">
        <v>431</v>
      </c>
      <c r="B9" s="2">
        <v>5</v>
      </c>
      <c r="C9" s="41" t="s">
        <v>113</v>
      </c>
      <c r="D9" s="43" t="s">
        <v>445</v>
      </c>
      <c r="E9" s="39" t="s">
        <v>449</v>
      </c>
      <c r="F9" s="38" t="s">
        <v>424</v>
      </c>
      <c r="G9" s="38" t="s">
        <v>434</v>
      </c>
      <c r="H9" s="38" t="s">
        <v>425</v>
      </c>
      <c r="I9" s="38" t="s">
        <v>426</v>
      </c>
      <c r="J9" s="39" t="s">
        <v>447</v>
      </c>
      <c r="K9" s="37" t="s">
        <v>451</v>
      </c>
    </row>
    <row r="10" spans="1:11" x14ac:dyDescent="0.5">
      <c r="A10" s="45" t="s">
        <v>438</v>
      </c>
      <c r="B10" s="2">
        <v>6</v>
      </c>
      <c r="C10" s="41" t="s">
        <v>114</v>
      </c>
      <c r="D10" s="42" t="s">
        <v>56</v>
      </c>
      <c r="E10" s="2" t="s">
        <v>58</v>
      </c>
      <c r="F10" s="2" t="s">
        <v>121</v>
      </c>
      <c r="G10" s="2" t="s">
        <v>122</v>
      </c>
      <c r="H10" s="2" t="s">
        <v>123</v>
      </c>
      <c r="I10" s="2" t="s">
        <v>124</v>
      </c>
      <c r="J10" s="2" t="s">
        <v>125</v>
      </c>
      <c r="K10" s="21" t="s">
        <v>454</v>
      </c>
    </row>
    <row r="11" spans="1:11" ht="14.7" thickBot="1" x14ac:dyDescent="0.55000000000000004">
      <c r="A11" s="45" t="s">
        <v>432</v>
      </c>
      <c r="B11" s="2">
        <v>7</v>
      </c>
      <c r="C11" s="41" t="s">
        <v>115</v>
      </c>
      <c r="D11" s="19" t="s">
        <v>455</v>
      </c>
      <c r="E11" s="36" t="s">
        <v>439</v>
      </c>
      <c r="F11" s="36" t="s">
        <v>440</v>
      </c>
      <c r="G11" s="36" t="s">
        <v>441</v>
      </c>
      <c r="H11" s="36" t="s">
        <v>442</v>
      </c>
      <c r="I11" s="57" t="s">
        <v>456</v>
      </c>
      <c r="J11" s="58" t="s">
        <v>457</v>
      </c>
      <c r="K11" s="22" t="s">
        <v>127</v>
      </c>
    </row>
  </sheetData>
  <pageMargins left="0.7" right="0.7" top="0.75" bottom="0.75" header="0.3" footer="0.3"/>
  <pageSetup paperSize="9" scale="72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5E3D-C8C6-4654-AC94-87148F97386D}">
  <dimension ref="A1:E10"/>
  <sheetViews>
    <sheetView workbookViewId="0">
      <selection activeCell="A12" sqref="A12"/>
    </sheetView>
  </sheetViews>
  <sheetFormatPr defaultRowHeight="14.35" x14ac:dyDescent="0.5"/>
  <cols>
    <col min="2" max="2" width="20.29296875" bestFit="1" customWidth="1"/>
    <col min="5" max="5" width="24.41015625" customWidth="1"/>
  </cols>
  <sheetData>
    <row r="1" spans="1:5" x14ac:dyDescent="0.5">
      <c r="A1" t="s">
        <v>187</v>
      </c>
      <c r="B1" t="s">
        <v>3</v>
      </c>
      <c r="C1" t="s">
        <v>401</v>
      </c>
      <c r="D1" t="s">
        <v>402</v>
      </c>
      <c r="E1" t="s">
        <v>403</v>
      </c>
    </row>
    <row r="2" spans="1:5" x14ac:dyDescent="0.5">
      <c r="A2" t="s">
        <v>95</v>
      </c>
      <c r="B2" t="s">
        <v>410</v>
      </c>
      <c r="C2" t="s">
        <v>404</v>
      </c>
      <c r="D2" t="s">
        <v>405</v>
      </c>
      <c r="E2" t="s">
        <v>406</v>
      </c>
    </row>
    <row r="3" spans="1:5" x14ac:dyDescent="0.5">
      <c r="A3" t="s">
        <v>96</v>
      </c>
      <c r="B3" t="s">
        <v>407</v>
      </c>
      <c r="C3" t="s">
        <v>405</v>
      </c>
      <c r="D3" t="s">
        <v>408</v>
      </c>
      <c r="E3" t="s">
        <v>406</v>
      </c>
    </row>
    <row r="4" spans="1:5" x14ac:dyDescent="0.5">
      <c r="A4" t="s">
        <v>98</v>
      </c>
      <c r="B4" t="s">
        <v>409</v>
      </c>
      <c r="C4" t="s">
        <v>405</v>
      </c>
      <c r="D4" t="s">
        <v>405</v>
      </c>
      <c r="E4" t="s">
        <v>406</v>
      </c>
    </row>
    <row r="5" spans="1:5" x14ac:dyDescent="0.5">
      <c r="A5" t="s">
        <v>99</v>
      </c>
      <c r="B5" t="s">
        <v>411</v>
      </c>
      <c r="C5" t="s">
        <v>405</v>
      </c>
      <c r="D5" t="s">
        <v>405</v>
      </c>
      <c r="E5" t="s">
        <v>406</v>
      </c>
    </row>
    <row r="6" spans="1:5" x14ac:dyDescent="0.5">
      <c r="A6" t="s">
        <v>101</v>
      </c>
      <c r="B6" t="s">
        <v>412</v>
      </c>
      <c r="C6" t="s">
        <v>405</v>
      </c>
      <c r="D6" t="s">
        <v>405</v>
      </c>
      <c r="E6" t="s">
        <v>406</v>
      </c>
    </row>
    <row r="7" spans="1:5" x14ac:dyDescent="0.5">
      <c r="A7" t="s">
        <v>100</v>
      </c>
      <c r="B7" t="s">
        <v>413</v>
      </c>
      <c r="C7" t="s">
        <v>405</v>
      </c>
      <c r="D7" t="s">
        <v>405</v>
      </c>
      <c r="E7" t="s">
        <v>406</v>
      </c>
    </row>
    <row r="8" spans="1:5" x14ac:dyDescent="0.5">
      <c r="A8" t="s">
        <v>414</v>
      </c>
      <c r="B8" t="s">
        <v>415</v>
      </c>
      <c r="C8" t="s">
        <v>405</v>
      </c>
      <c r="D8" t="s">
        <v>405</v>
      </c>
      <c r="E8" t="s">
        <v>406</v>
      </c>
    </row>
    <row r="9" spans="1:5" x14ac:dyDescent="0.5">
      <c r="A9" t="s">
        <v>416</v>
      </c>
      <c r="B9" t="s">
        <v>417</v>
      </c>
      <c r="C9" t="s">
        <v>405</v>
      </c>
      <c r="D9" t="s">
        <v>405</v>
      </c>
      <c r="E9" t="s">
        <v>406</v>
      </c>
    </row>
    <row r="10" spans="1:5" x14ac:dyDescent="0.5">
      <c r="A10" t="s">
        <v>104</v>
      </c>
      <c r="B10" t="s">
        <v>418</v>
      </c>
      <c r="C10" t="s">
        <v>405</v>
      </c>
      <c r="D10" t="s">
        <v>405</v>
      </c>
      <c r="E10" t="s">
        <v>419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8278-188C-468B-A773-5D753B6CC6D9}">
  <sheetPr codeName="Sheet6"/>
  <dimension ref="A1:C15"/>
  <sheetViews>
    <sheetView zoomScale="115" zoomScaleNormal="115" workbookViewId="0">
      <selection activeCell="C5" sqref="C5"/>
    </sheetView>
  </sheetViews>
  <sheetFormatPr defaultRowHeight="14.35" x14ac:dyDescent="0.5"/>
  <sheetData>
    <row r="1" spans="1:3" x14ac:dyDescent="0.5">
      <c r="A1" t="s">
        <v>128</v>
      </c>
      <c r="B1" t="s">
        <v>129</v>
      </c>
      <c r="C1" t="s">
        <v>130</v>
      </c>
    </row>
    <row r="2" spans="1:3" x14ac:dyDescent="0.5">
      <c r="A2" s="11" t="s">
        <v>119</v>
      </c>
      <c r="B2">
        <f t="shared" ref="B2:B15" si="0">BIN2DEC(C2)</f>
        <v>0</v>
      </c>
      <c r="C2" s="9" t="s">
        <v>131</v>
      </c>
    </row>
    <row r="3" spans="1:3" x14ac:dyDescent="0.5">
      <c r="A3" s="10" t="s">
        <v>118</v>
      </c>
      <c r="B3">
        <f t="shared" si="0"/>
        <v>1</v>
      </c>
      <c r="C3" s="9" t="s">
        <v>132</v>
      </c>
    </row>
    <row r="4" spans="1:3" x14ac:dyDescent="0.5">
      <c r="A4" s="11" t="s">
        <v>124</v>
      </c>
      <c r="B4">
        <f t="shared" si="0"/>
        <v>2</v>
      </c>
      <c r="C4" s="9" t="s">
        <v>133</v>
      </c>
    </row>
    <row r="5" spans="1:3" x14ac:dyDescent="0.5">
      <c r="A5" s="11" t="s">
        <v>127</v>
      </c>
      <c r="B5">
        <f t="shared" si="0"/>
        <v>12</v>
      </c>
      <c r="C5" s="9" t="s">
        <v>134</v>
      </c>
    </row>
    <row r="6" spans="1:3" x14ac:dyDescent="0.5">
      <c r="A6" s="11" t="s">
        <v>123</v>
      </c>
      <c r="B6">
        <f t="shared" si="0"/>
        <v>24</v>
      </c>
      <c r="C6" s="9" t="s">
        <v>135</v>
      </c>
    </row>
    <row r="7" spans="1:3" x14ac:dyDescent="0.5">
      <c r="A7" s="11" t="s">
        <v>136</v>
      </c>
      <c r="B7">
        <f t="shared" si="0"/>
        <v>25</v>
      </c>
      <c r="C7" s="9" t="s">
        <v>137</v>
      </c>
    </row>
    <row r="8" spans="1:3" x14ac:dyDescent="0.5">
      <c r="A8" s="11" t="s">
        <v>121</v>
      </c>
      <c r="B8">
        <f t="shared" si="0"/>
        <v>26</v>
      </c>
      <c r="C8" s="9" t="s">
        <v>138</v>
      </c>
    </row>
    <row r="9" spans="1:3" x14ac:dyDescent="0.5">
      <c r="A9" s="11" t="s">
        <v>139</v>
      </c>
      <c r="B9">
        <f t="shared" si="0"/>
        <v>36</v>
      </c>
      <c r="C9" s="9" t="s">
        <v>140</v>
      </c>
    </row>
    <row r="10" spans="1:3" x14ac:dyDescent="0.5">
      <c r="A10" s="11" t="s">
        <v>122</v>
      </c>
      <c r="B10">
        <f t="shared" si="0"/>
        <v>37</v>
      </c>
      <c r="C10" s="9" t="s">
        <v>141</v>
      </c>
    </row>
    <row r="11" spans="1:3" x14ac:dyDescent="0.5">
      <c r="A11" s="11" t="s">
        <v>126</v>
      </c>
      <c r="B11">
        <f t="shared" si="0"/>
        <v>42</v>
      </c>
      <c r="C11" s="9" t="s">
        <v>142</v>
      </c>
    </row>
    <row r="12" spans="1:3" x14ac:dyDescent="0.5">
      <c r="A12" s="11" t="s">
        <v>56</v>
      </c>
      <c r="B12">
        <f t="shared" si="0"/>
        <v>46</v>
      </c>
      <c r="C12" s="9" t="s">
        <v>143</v>
      </c>
    </row>
    <row r="13" spans="1:3" x14ac:dyDescent="0.5">
      <c r="A13" s="11" t="s">
        <v>125</v>
      </c>
      <c r="B13">
        <f t="shared" si="0"/>
        <v>49</v>
      </c>
      <c r="C13" s="9" t="s">
        <v>144</v>
      </c>
    </row>
    <row r="14" spans="1:3" x14ac:dyDescent="0.5">
      <c r="A14" s="11" t="s">
        <v>58</v>
      </c>
      <c r="B14">
        <f t="shared" si="0"/>
        <v>58</v>
      </c>
      <c r="C14" s="9" t="s">
        <v>145</v>
      </c>
    </row>
    <row r="15" spans="1:3" x14ac:dyDescent="0.5">
      <c r="A15" s="11" t="s">
        <v>120</v>
      </c>
      <c r="B15">
        <f t="shared" si="0"/>
        <v>61</v>
      </c>
      <c r="C15" s="9" t="s">
        <v>146</v>
      </c>
    </row>
  </sheetData>
  <autoFilter ref="A1:C15" xr:uid="{868B8278-188C-468B-A773-5D753B6CC6D9}">
    <sortState xmlns:xlrd2="http://schemas.microsoft.com/office/spreadsheetml/2017/richdata2" ref="A2:C15">
      <sortCondition ref="C1:C15"/>
    </sortState>
  </autoFilter>
  <dataConsolidate/>
  <pageMargins left="0.7" right="0.7" top="0.75" bottom="0.75" header="0.3" footer="0.3"/>
  <pageSetup paperSize="9" orientation="landscape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1175-3B09-4B29-B99C-A44626EB4F00}">
  <sheetPr codeName="Sheet4"/>
  <dimension ref="A1:L39"/>
  <sheetViews>
    <sheetView topLeftCell="A28" zoomScale="130" zoomScaleNormal="130" workbookViewId="0">
      <selection activeCell="J38" sqref="J38"/>
    </sheetView>
  </sheetViews>
  <sheetFormatPr defaultRowHeight="14.35" x14ac:dyDescent="0.5"/>
  <cols>
    <col min="1" max="2" width="11.703125" customWidth="1"/>
    <col min="5" max="5" width="10.41015625" customWidth="1"/>
    <col min="6" max="6" width="10.29296875" customWidth="1"/>
    <col min="7" max="7" width="10.41015625" customWidth="1"/>
  </cols>
  <sheetData>
    <row r="1" spans="1:12" x14ac:dyDescent="0.5">
      <c r="A1" t="s">
        <v>147</v>
      </c>
    </row>
    <row r="2" spans="1:12" x14ac:dyDescent="0.5">
      <c r="A2" s="3"/>
      <c r="B2" s="51" t="s">
        <v>148</v>
      </c>
      <c r="C2" s="51"/>
      <c r="D2" s="51"/>
      <c r="E2" s="51" t="s">
        <v>149</v>
      </c>
      <c r="F2" s="51"/>
      <c r="G2" s="51"/>
      <c r="H2" s="51"/>
      <c r="I2" s="51"/>
      <c r="J2" s="52"/>
      <c r="K2" s="52" t="s">
        <v>150</v>
      </c>
      <c r="L2" s="53"/>
    </row>
    <row r="3" spans="1:12" x14ac:dyDescent="0.5">
      <c r="A3" s="3" t="s">
        <v>151</v>
      </c>
      <c r="B3" s="34" t="s">
        <v>152</v>
      </c>
      <c r="C3" s="34" t="s">
        <v>153</v>
      </c>
      <c r="D3" s="34" t="s">
        <v>154</v>
      </c>
      <c r="E3" s="13" t="s">
        <v>155</v>
      </c>
      <c r="F3" s="13" t="s">
        <v>156</v>
      </c>
      <c r="G3" s="13" t="s">
        <v>157</v>
      </c>
      <c r="H3" s="14" t="s">
        <v>158</v>
      </c>
      <c r="I3" s="14" t="s">
        <v>159</v>
      </c>
      <c r="J3" s="15" t="s">
        <v>160</v>
      </c>
      <c r="K3" s="34" t="s">
        <v>161</v>
      </c>
      <c r="L3" s="34" t="s">
        <v>162</v>
      </c>
    </row>
    <row r="4" spans="1:12" x14ac:dyDescent="0.5">
      <c r="A4" s="3" t="s">
        <v>163</v>
      </c>
      <c r="B4" s="34" t="s">
        <v>105</v>
      </c>
      <c r="C4" s="34" t="s">
        <v>164</v>
      </c>
      <c r="D4" s="34" t="s">
        <v>165</v>
      </c>
      <c r="E4" s="13" t="s">
        <v>165</v>
      </c>
      <c r="F4" s="13" t="s">
        <v>165</v>
      </c>
      <c r="G4" s="13" t="s">
        <v>165</v>
      </c>
      <c r="H4" s="14" t="s">
        <v>165</v>
      </c>
      <c r="I4" s="14" t="s">
        <v>165</v>
      </c>
      <c r="J4" s="15" t="s">
        <v>165</v>
      </c>
      <c r="K4" s="34" t="s">
        <v>166</v>
      </c>
      <c r="L4" s="34" t="s">
        <v>166</v>
      </c>
    </row>
    <row r="5" spans="1:12" x14ac:dyDescent="0.5">
      <c r="A5" s="3" t="s">
        <v>167</v>
      </c>
      <c r="B5" s="34" t="s">
        <v>164</v>
      </c>
      <c r="C5" s="34" t="s">
        <v>164</v>
      </c>
      <c r="D5" s="34" t="s">
        <v>164</v>
      </c>
      <c r="E5" s="13" t="s">
        <v>164</v>
      </c>
      <c r="F5" s="13" t="s">
        <v>164</v>
      </c>
      <c r="G5" s="13" t="s">
        <v>165</v>
      </c>
      <c r="H5" s="14" t="s">
        <v>165</v>
      </c>
      <c r="I5" s="14" t="s">
        <v>165</v>
      </c>
      <c r="J5" s="15" t="s">
        <v>165</v>
      </c>
      <c r="K5" s="34" t="s">
        <v>168</v>
      </c>
      <c r="L5" s="34" t="s">
        <v>166</v>
      </c>
    </row>
    <row r="6" spans="1:12" x14ac:dyDescent="0.5">
      <c r="A6" s="3" t="s">
        <v>169</v>
      </c>
      <c r="B6" s="34" t="s">
        <v>165</v>
      </c>
      <c r="C6" s="34" t="s">
        <v>164</v>
      </c>
      <c r="D6" s="34" t="s">
        <v>164</v>
      </c>
      <c r="E6" s="13" t="s">
        <v>165</v>
      </c>
      <c r="F6" s="13" t="s">
        <v>165</v>
      </c>
      <c r="G6" s="13" t="s">
        <v>165</v>
      </c>
      <c r="H6" s="14" t="s">
        <v>164</v>
      </c>
      <c r="I6" s="14" t="s">
        <v>164</v>
      </c>
      <c r="J6" s="15" t="s">
        <v>165</v>
      </c>
      <c r="K6" s="34" t="s">
        <v>166</v>
      </c>
      <c r="L6" s="34" t="s">
        <v>168</v>
      </c>
    </row>
    <row r="7" spans="1:12" x14ac:dyDescent="0.5">
      <c r="A7" s="3" t="s">
        <v>170</v>
      </c>
      <c r="B7" s="34" t="s">
        <v>165</v>
      </c>
      <c r="C7" s="34" t="s">
        <v>165</v>
      </c>
      <c r="D7" s="34" t="s">
        <v>165</v>
      </c>
      <c r="E7" s="13" t="s">
        <v>165</v>
      </c>
      <c r="F7" s="13" t="s">
        <v>165</v>
      </c>
      <c r="G7" s="13" t="s">
        <v>165</v>
      </c>
      <c r="H7" s="14" t="s">
        <v>164</v>
      </c>
      <c r="I7" s="14" t="s">
        <v>165</v>
      </c>
      <c r="J7" s="15" t="s">
        <v>164</v>
      </c>
      <c r="K7" s="34" t="s">
        <v>166</v>
      </c>
      <c r="L7" s="34" t="s">
        <v>171</v>
      </c>
    </row>
    <row r="10" spans="1:12" x14ac:dyDescent="0.5">
      <c r="A10" s="1" t="s">
        <v>152</v>
      </c>
    </row>
    <row r="17" spans="1:12" x14ac:dyDescent="0.5">
      <c r="A17" s="1" t="s">
        <v>172</v>
      </c>
    </row>
    <row r="28" spans="1:12" x14ac:dyDescent="0.5">
      <c r="A28" s="3"/>
      <c r="B28" s="51" t="s">
        <v>148</v>
      </c>
      <c r="C28" s="51"/>
      <c r="D28" s="51"/>
      <c r="E28" s="51" t="s">
        <v>149</v>
      </c>
      <c r="F28" s="51"/>
      <c r="G28" s="51"/>
      <c r="H28" s="51"/>
      <c r="I28" s="51"/>
      <c r="J28" s="52"/>
      <c r="K28" s="52" t="s">
        <v>150</v>
      </c>
      <c r="L28" s="53"/>
    </row>
    <row r="29" spans="1:12" x14ac:dyDescent="0.5">
      <c r="A29" s="3" t="s">
        <v>151</v>
      </c>
      <c r="B29" s="34" t="s">
        <v>152</v>
      </c>
      <c r="C29" s="34" t="s">
        <v>153</v>
      </c>
      <c r="D29" s="34" t="s">
        <v>154</v>
      </c>
      <c r="E29" s="13" t="s">
        <v>173</v>
      </c>
      <c r="F29" s="13" t="s">
        <v>174</v>
      </c>
      <c r="G29" s="13" t="s">
        <v>175</v>
      </c>
      <c r="H29" s="14" t="s">
        <v>176</v>
      </c>
      <c r="I29" s="14" t="s">
        <v>177</v>
      </c>
      <c r="J29" s="15" t="s">
        <v>178</v>
      </c>
      <c r="K29" s="34" t="s">
        <v>161</v>
      </c>
      <c r="L29" s="34" t="s">
        <v>162</v>
      </c>
    </row>
    <row r="30" spans="1:12" x14ac:dyDescent="0.5">
      <c r="A30" s="3" t="s">
        <v>163</v>
      </c>
      <c r="B30" s="34" t="s">
        <v>105</v>
      </c>
      <c r="C30" s="34" t="s">
        <v>179</v>
      </c>
      <c r="D30" s="34" t="s">
        <v>180</v>
      </c>
      <c r="E30" s="13" t="s">
        <v>165</v>
      </c>
      <c r="F30" s="13" t="s">
        <v>165</v>
      </c>
      <c r="G30" s="13" t="s">
        <v>165</v>
      </c>
      <c r="H30" s="14" t="s">
        <v>165</v>
      </c>
      <c r="I30" s="14" t="s">
        <v>165</v>
      </c>
      <c r="J30" s="15" t="s">
        <v>165</v>
      </c>
      <c r="K30" s="34" t="s">
        <v>166</v>
      </c>
      <c r="L30" s="34" t="s">
        <v>166</v>
      </c>
    </row>
    <row r="31" spans="1:12" x14ac:dyDescent="0.5">
      <c r="A31" s="3" t="s">
        <v>167</v>
      </c>
      <c r="B31" s="34" t="s">
        <v>181</v>
      </c>
      <c r="C31" s="34" t="s">
        <v>179</v>
      </c>
      <c r="D31" s="34" t="s">
        <v>182</v>
      </c>
      <c r="E31" s="13" t="s">
        <v>164</v>
      </c>
      <c r="F31" s="13" t="s">
        <v>164</v>
      </c>
      <c r="G31" s="13" t="s">
        <v>165</v>
      </c>
      <c r="H31" s="14" t="s">
        <v>165</v>
      </c>
      <c r="I31" s="14" t="s">
        <v>165</v>
      </c>
      <c r="J31" s="15" t="s">
        <v>165</v>
      </c>
      <c r="K31" s="34" t="s">
        <v>168</v>
      </c>
      <c r="L31" s="34" t="s">
        <v>166</v>
      </c>
    </row>
    <row r="32" spans="1:12" x14ac:dyDescent="0.5">
      <c r="A32" s="3" t="s">
        <v>169</v>
      </c>
      <c r="B32" s="34" t="s">
        <v>152</v>
      </c>
      <c r="C32" s="34" t="s">
        <v>179</v>
      </c>
      <c r="D32" s="34" t="s">
        <v>182</v>
      </c>
      <c r="E32" s="13" t="s">
        <v>165</v>
      </c>
      <c r="F32" s="13" t="s">
        <v>165</v>
      </c>
      <c r="G32" s="13" t="s">
        <v>165</v>
      </c>
      <c r="H32" s="14" t="s">
        <v>164</v>
      </c>
      <c r="I32" s="14" t="s">
        <v>164</v>
      </c>
      <c r="J32" s="15" t="s">
        <v>165</v>
      </c>
      <c r="K32" s="34" t="s">
        <v>166</v>
      </c>
      <c r="L32" s="34" t="s">
        <v>168</v>
      </c>
    </row>
    <row r="33" spans="1:12" x14ac:dyDescent="0.5">
      <c r="A33" s="3" t="s">
        <v>170</v>
      </c>
      <c r="B33" s="34" t="s">
        <v>152</v>
      </c>
      <c r="C33" s="34" t="s">
        <v>183</v>
      </c>
      <c r="D33" s="34" t="s">
        <v>180</v>
      </c>
      <c r="E33" s="13" t="s">
        <v>165</v>
      </c>
      <c r="F33" s="13" t="s">
        <v>165</v>
      </c>
      <c r="G33" s="13" t="s">
        <v>165</v>
      </c>
      <c r="H33" s="14" t="s">
        <v>164</v>
      </c>
      <c r="I33" s="14" t="s">
        <v>165</v>
      </c>
      <c r="J33" s="15" t="s">
        <v>164</v>
      </c>
      <c r="K33" s="34" t="s">
        <v>166</v>
      </c>
      <c r="L33" s="34" t="s">
        <v>171</v>
      </c>
    </row>
    <row r="35" spans="1:12" x14ac:dyDescent="0.5">
      <c r="E35" t="str">
        <f>E29&amp;" ="</f>
        <v>!ROM_CE =</v>
      </c>
      <c r="F35" t="str">
        <f t="shared" ref="F35:J35" si="0">F29&amp;" ="</f>
        <v>!ROM_OE =</v>
      </c>
      <c r="G35" t="str">
        <f t="shared" si="0"/>
        <v>!ROM_WE =</v>
      </c>
      <c r="H35" t="str">
        <f t="shared" si="0"/>
        <v>!RAM_CE =</v>
      </c>
      <c r="I35" t="str">
        <f t="shared" si="0"/>
        <v>!RAM_OE =</v>
      </c>
      <c r="J35" t="str">
        <f t="shared" si="0"/>
        <v>!RAM_WE =</v>
      </c>
    </row>
    <row r="36" spans="1:12" x14ac:dyDescent="0.5">
      <c r="C36" s="2"/>
      <c r="D36" s="2"/>
      <c r="E36" t="str">
        <f>IF(E30="H",$B30&amp;" &amp; "&amp;$C30&amp;" &amp; "&amp;$D30&amp;" # ","")</f>
        <v xml:space="preserve">X &amp; !MEM_d &amp; !MEM_oe # </v>
      </c>
      <c r="F36" t="str">
        <f t="shared" ref="F36:J36" si="1">IF(F30="H",$B30&amp;" &amp; "&amp;$C30&amp;" &amp; "&amp;$D30&amp;" # ","")</f>
        <v xml:space="preserve">X &amp; !MEM_d &amp; !MEM_oe # </v>
      </c>
      <c r="G36" t="str">
        <f t="shared" si="1"/>
        <v xml:space="preserve">X &amp; !MEM_d &amp; !MEM_oe # </v>
      </c>
      <c r="H36" t="str">
        <f t="shared" si="1"/>
        <v xml:space="preserve">X &amp; !MEM_d &amp; !MEM_oe # </v>
      </c>
      <c r="I36" t="str">
        <f t="shared" si="1"/>
        <v xml:space="preserve">X &amp; !MEM_d &amp; !MEM_oe # </v>
      </c>
      <c r="J36" t="str">
        <f t="shared" si="1"/>
        <v xml:space="preserve">X &amp; !MEM_d &amp; !MEM_oe # </v>
      </c>
    </row>
    <row r="37" spans="1:12" x14ac:dyDescent="0.5">
      <c r="E37" t="str">
        <f t="shared" ref="E37:J39" si="2">IF(E31="H",$B31&amp;" &amp; "&amp;$C31&amp;" &amp; "&amp;$D31&amp;" # ","")</f>
        <v/>
      </c>
      <c r="F37" t="str">
        <f t="shared" si="2"/>
        <v/>
      </c>
      <c r="G37" t="str">
        <f t="shared" si="2"/>
        <v xml:space="preserve">!RAM &amp; !MEM_d &amp; MEM_oe # </v>
      </c>
      <c r="H37" t="str">
        <f t="shared" si="2"/>
        <v xml:space="preserve">!RAM &amp; !MEM_d &amp; MEM_oe # </v>
      </c>
      <c r="I37" t="str">
        <f t="shared" si="2"/>
        <v xml:space="preserve">!RAM &amp; !MEM_d &amp; MEM_oe # </v>
      </c>
      <c r="J37" t="str">
        <f t="shared" si="2"/>
        <v xml:space="preserve">!RAM &amp; !MEM_d &amp; MEM_oe # </v>
      </c>
    </row>
    <row r="38" spans="1:12" x14ac:dyDescent="0.5">
      <c r="E38" t="str">
        <f t="shared" si="2"/>
        <v xml:space="preserve">RAM &amp; !MEM_d &amp; MEM_oe # </v>
      </c>
      <c r="F38" t="str">
        <f t="shared" si="2"/>
        <v xml:space="preserve">RAM &amp; !MEM_d &amp; MEM_oe # </v>
      </c>
      <c r="G38" t="str">
        <f t="shared" si="2"/>
        <v xml:space="preserve">RAM &amp; !MEM_d &amp; MEM_oe # </v>
      </c>
      <c r="H38" t="str">
        <f t="shared" si="2"/>
        <v/>
      </c>
      <c r="I38" t="str">
        <f t="shared" si="2"/>
        <v/>
      </c>
      <c r="J38" t="str">
        <f t="shared" si="2"/>
        <v xml:space="preserve">RAM &amp; !MEM_d &amp; MEM_oe # </v>
      </c>
    </row>
    <row r="39" spans="1:12" x14ac:dyDescent="0.5">
      <c r="E39" t="str">
        <f t="shared" si="2"/>
        <v xml:space="preserve">RAM &amp; MEM_d &amp; !MEM_oe # </v>
      </c>
      <c r="F39" t="str">
        <f t="shared" si="2"/>
        <v xml:space="preserve">RAM &amp; MEM_d &amp; !MEM_oe # </v>
      </c>
      <c r="G39" t="str">
        <f t="shared" si="2"/>
        <v xml:space="preserve">RAM &amp; MEM_d &amp; !MEM_oe # </v>
      </c>
      <c r="H39" t="str">
        <f t="shared" si="2"/>
        <v/>
      </c>
      <c r="I39" t="str">
        <f t="shared" si="2"/>
        <v xml:space="preserve">RAM &amp; MEM_d &amp; !MEM_oe # </v>
      </c>
      <c r="J39" t="str">
        <f t="shared" si="2"/>
        <v/>
      </c>
    </row>
  </sheetData>
  <mergeCells count="6">
    <mergeCell ref="B2:D2"/>
    <mergeCell ref="E2:J2"/>
    <mergeCell ref="K2:L2"/>
    <mergeCell ref="B28:D28"/>
    <mergeCell ref="E28:J28"/>
    <mergeCell ref="K28:L28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69AAB-1931-459D-A526-12FDCA5915CC}">
  <sheetPr codeName="Sheet7"/>
  <dimension ref="A1:J51"/>
  <sheetViews>
    <sheetView workbookViewId="0">
      <pane ySplit="2" topLeftCell="A3" activePane="bottomLeft" state="frozen"/>
      <selection pane="bottomLeft" activeCell="C41" sqref="C34:C41"/>
    </sheetView>
  </sheetViews>
  <sheetFormatPr defaultRowHeight="14.35" x14ac:dyDescent="0.5"/>
  <cols>
    <col min="2" max="2" width="15.1171875" bestFit="1" customWidth="1"/>
    <col min="3" max="3" width="11.41015625" customWidth="1"/>
    <col min="4" max="4" width="10.41015625" bestFit="1" customWidth="1"/>
    <col min="5" max="5" width="19.87890625" customWidth="1"/>
    <col min="7" max="7" width="14.29296875" bestFit="1" customWidth="1"/>
    <col min="8" max="8" width="14.41015625" bestFit="1" customWidth="1"/>
    <col min="9" max="9" width="11" bestFit="1" customWidth="1"/>
    <col min="10" max="10" width="20.41015625" customWidth="1"/>
  </cols>
  <sheetData>
    <row r="1" spans="1:10" ht="17" x14ac:dyDescent="0.5">
      <c r="A1" s="54" t="s">
        <v>184</v>
      </c>
      <c r="B1" s="55"/>
      <c r="C1" s="55"/>
      <c r="D1" s="55"/>
      <c r="E1" s="56"/>
      <c r="F1" s="55" t="s">
        <v>185</v>
      </c>
      <c r="G1" s="55"/>
      <c r="H1" s="55"/>
      <c r="I1" s="55"/>
      <c r="J1" s="55"/>
    </row>
    <row r="2" spans="1:10" ht="17" x14ac:dyDescent="0.5">
      <c r="A2" s="23" t="s">
        <v>186</v>
      </c>
      <c r="B2" s="24" t="s">
        <v>187</v>
      </c>
      <c r="C2" s="24" t="s">
        <v>188</v>
      </c>
      <c r="D2" s="24" t="s">
        <v>189</v>
      </c>
      <c r="E2" s="28" t="s">
        <v>190</v>
      </c>
      <c r="F2" s="24" t="s">
        <v>186</v>
      </c>
      <c r="G2" s="24" t="s">
        <v>187</v>
      </c>
      <c r="H2" s="24" t="s">
        <v>188</v>
      </c>
      <c r="I2" s="24" t="s">
        <v>189</v>
      </c>
      <c r="J2" s="24" t="s">
        <v>190</v>
      </c>
    </row>
    <row r="3" spans="1:10" ht="17" x14ac:dyDescent="0.5">
      <c r="A3" s="25" t="s">
        <v>191</v>
      </c>
      <c r="B3" s="26" t="s">
        <v>192</v>
      </c>
      <c r="C3" s="26" t="s">
        <v>193</v>
      </c>
      <c r="D3" s="26" t="s">
        <v>194</v>
      </c>
      <c r="E3" s="29" t="s">
        <v>193</v>
      </c>
      <c r="F3" s="26" t="s">
        <v>195</v>
      </c>
      <c r="G3" s="26" t="s">
        <v>196</v>
      </c>
      <c r="H3" s="26" t="s">
        <v>196</v>
      </c>
      <c r="I3" s="26" t="s">
        <v>197</v>
      </c>
      <c r="J3" s="26" t="s">
        <v>198</v>
      </c>
    </row>
    <row r="4" spans="1:10" ht="17" x14ac:dyDescent="0.5">
      <c r="A4" s="25" t="s">
        <v>199</v>
      </c>
      <c r="B4" s="26" t="s">
        <v>200</v>
      </c>
      <c r="C4" s="35" t="s">
        <v>201</v>
      </c>
      <c r="D4" s="26" t="s">
        <v>202</v>
      </c>
      <c r="E4" s="29" t="s">
        <v>203</v>
      </c>
      <c r="F4" s="26" t="s">
        <v>204</v>
      </c>
      <c r="G4" s="26" t="s">
        <v>205</v>
      </c>
      <c r="H4" s="26" t="s">
        <v>205</v>
      </c>
      <c r="I4" s="26" t="s">
        <v>194</v>
      </c>
      <c r="J4" s="26"/>
    </row>
    <row r="5" spans="1:10" ht="17" x14ac:dyDescent="0.5">
      <c r="A5" s="25" t="s">
        <v>206</v>
      </c>
      <c r="B5" s="26" t="s">
        <v>207</v>
      </c>
      <c r="C5" s="35" t="s">
        <v>208</v>
      </c>
      <c r="D5" s="26" t="s">
        <v>202</v>
      </c>
      <c r="E5" s="29" t="s">
        <v>203</v>
      </c>
      <c r="F5" s="26" t="s">
        <v>209</v>
      </c>
      <c r="G5" s="27" t="s">
        <v>210</v>
      </c>
      <c r="H5" s="27" t="s">
        <v>210</v>
      </c>
      <c r="I5" s="27" t="s">
        <v>210</v>
      </c>
      <c r="J5" s="26" t="s">
        <v>198</v>
      </c>
    </row>
    <row r="6" spans="1:10" ht="17" x14ac:dyDescent="0.5">
      <c r="A6" s="25" t="s">
        <v>211</v>
      </c>
      <c r="B6" s="26" t="s">
        <v>212</v>
      </c>
      <c r="C6" s="35" t="s">
        <v>213</v>
      </c>
      <c r="D6" s="26" t="s">
        <v>202</v>
      </c>
      <c r="E6" s="29" t="s">
        <v>203</v>
      </c>
      <c r="F6" s="26" t="s">
        <v>214</v>
      </c>
      <c r="G6" s="26" t="s">
        <v>215</v>
      </c>
      <c r="H6" s="26" t="s">
        <v>193</v>
      </c>
      <c r="I6" s="26" t="s">
        <v>194</v>
      </c>
      <c r="J6" s="26"/>
    </row>
    <row r="7" spans="1:10" ht="17" x14ac:dyDescent="0.5">
      <c r="A7" s="25" t="s">
        <v>216</v>
      </c>
      <c r="B7" s="26" t="s">
        <v>217</v>
      </c>
      <c r="C7" s="35" t="s">
        <v>218</v>
      </c>
      <c r="D7" s="26" t="s">
        <v>202</v>
      </c>
      <c r="E7" s="29" t="s">
        <v>203</v>
      </c>
      <c r="F7" s="26" t="s">
        <v>219</v>
      </c>
      <c r="G7" s="27" t="s">
        <v>220</v>
      </c>
      <c r="H7" s="26" t="s">
        <v>193</v>
      </c>
      <c r="I7" s="27" t="s">
        <v>220</v>
      </c>
      <c r="J7" s="26"/>
    </row>
    <row r="8" spans="1:10" ht="17" x14ac:dyDescent="0.5">
      <c r="A8" s="25" t="s">
        <v>221</v>
      </c>
      <c r="B8" s="26" t="s">
        <v>222</v>
      </c>
      <c r="C8" s="35" t="s">
        <v>223</v>
      </c>
      <c r="D8" s="26" t="s">
        <v>202</v>
      </c>
      <c r="E8" s="29" t="s">
        <v>203</v>
      </c>
      <c r="F8" s="26" t="s">
        <v>224</v>
      </c>
      <c r="G8" s="26" t="s">
        <v>225</v>
      </c>
      <c r="H8" s="26"/>
      <c r="I8" s="26" t="s">
        <v>194</v>
      </c>
      <c r="J8" s="26"/>
    </row>
    <row r="9" spans="1:10" ht="17" x14ac:dyDescent="0.5">
      <c r="A9" s="25" t="s">
        <v>226</v>
      </c>
      <c r="B9" s="26" t="s">
        <v>227</v>
      </c>
      <c r="C9" s="35" t="s">
        <v>228</v>
      </c>
      <c r="D9" s="26" t="s">
        <v>202</v>
      </c>
      <c r="E9" s="29" t="s">
        <v>203</v>
      </c>
      <c r="F9" s="26" t="s">
        <v>229</v>
      </c>
      <c r="G9" s="27" t="s">
        <v>230</v>
      </c>
      <c r="H9" s="27" t="s">
        <v>230</v>
      </c>
      <c r="I9" s="27" t="s">
        <v>230</v>
      </c>
      <c r="J9" s="26"/>
    </row>
    <row r="10" spans="1:10" ht="17" x14ac:dyDescent="0.5">
      <c r="A10" s="25" t="s">
        <v>231</v>
      </c>
      <c r="B10" s="26" t="s">
        <v>232</v>
      </c>
      <c r="C10" s="35" t="s">
        <v>233</v>
      </c>
      <c r="D10" s="26" t="s">
        <v>202</v>
      </c>
      <c r="E10" s="29" t="s">
        <v>203</v>
      </c>
      <c r="F10" s="26" t="s">
        <v>234</v>
      </c>
      <c r="G10" s="26" t="s">
        <v>235</v>
      </c>
      <c r="H10" s="26"/>
      <c r="I10" s="26" t="s">
        <v>194</v>
      </c>
      <c r="J10" s="26"/>
    </row>
    <row r="11" spans="1:10" ht="17" x14ac:dyDescent="0.5">
      <c r="A11" s="25" t="s">
        <v>236</v>
      </c>
      <c r="B11" s="26" t="s">
        <v>237</v>
      </c>
      <c r="C11" s="35" t="s">
        <v>238</v>
      </c>
      <c r="D11" s="26" t="s">
        <v>202</v>
      </c>
      <c r="E11" s="29" t="s">
        <v>203</v>
      </c>
      <c r="F11" s="26" t="s">
        <v>239</v>
      </c>
      <c r="G11" s="27" t="s">
        <v>240</v>
      </c>
      <c r="H11" s="27" t="s">
        <v>240</v>
      </c>
      <c r="I11" s="27" t="s">
        <v>240</v>
      </c>
      <c r="J11" s="26" t="s">
        <v>198</v>
      </c>
    </row>
    <row r="12" spans="1:10" ht="17" x14ac:dyDescent="0.5">
      <c r="A12" s="25" t="s">
        <v>241</v>
      </c>
      <c r="B12" s="26" t="s">
        <v>242</v>
      </c>
      <c r="C12" s="26" t="s">
        <v>193</v>
      </c>
      <c r="D12" s="26" t="s">
        <v>194</v>
      </c>
      <c r="E12" s="29" t="s">
        <v>193</v>
      </c>
      <c r="F12" s="26" t="s">
        <v>243</v>
      </c>
      <c r="G12" s="26" t="s">
        <v>196</v>
      </c>
      <c r="H12" s="26" t="s">
        <v>196</v>
      </c>
      <c r="I12" s="26" t="s">
        <v>196</v>
      </c>
      <c r="J12" s="26" t="s">
        <v>198</v>
      </c>
    </row>
    <row r="13" spans="1:10" ht="17" x14ac:dyDescent="0.5">
      <c r="A13" s="25" t="s">
        <v>244</v>
      </c>
      <c r="B13" s="26" t="s">
        <v>245</v>
      </c>
      <c r="C13" s="26" t="s">
        <v>193</v>
      </c>
      <c r="D13" s="26" t="s">
        <v>194</v>
      </c>
      <c r="E13" s="29" t="s">
        <v>193</v>
      </c>
      <c r="F13" s="26" t="s">
        <v>246</v>
      </c>
      <c r="G13" s="26" t="s">
        <v>247</v>
      </c>
      <c r="H13" s="26"/>
      <c r="I13" s="26" t="s">
        <v>248</v>
      </c>
      <c r="J13" s="26"/>
    </row>
    <row r="14" spans="1:10" ht="17" x14ac:dyDescent="0.5">
      <c r="A14" s="25" t="s">
        <v>249</v>
      </c>
      <c r="B14" s="26" t="s">
        <v>250</v>
      </c>
      <c r="C14" s="26" t="s">
        <v>193</v>
      </c>
      <c r="D14" s="26" t="s">
        <v>202</v>
      </c>
      <c r="E14" s="29" t="s">
        <v>193</v>
      </c>
      <c r="F14" s="26" t="s">
        <v>251</v>
      </c>
      <c r="G14" s="26" t="s">
        <v>252</v>
      </c>
      <c r="H14" s="26"/>
      <c r="I14" s="26" t="s">
        <v>248</v>
      </c>
      <c r="J14" s="26"/>
    </row>
    <row r="15" spans="1:10" ht="17" x14ac:dyDescent="0.5">
      <c r="A15" s="25" t="s">
        <v>253</v>
      </c>
      <c r="B15" s="26" t="s">
        <v>254</v>
      </c>
      <c r="C15" s="26" t="s">
        <v>193</v>
      </c>
      <c r="D15" s="26" t="s">
        <v>202</v>
      </c>
      <c r="E15" s="29" t="s">
        <v>193</v>
      </c>
      <c r="F15" s="26" t="s">
        <v>255</v>
      </c>
      <c r="G15" s="26" t="s">
        <v>256</v>
      </c>
      <c r="H15" s="26"/>
      <c r="I15" s="26" t="s">
        <v>248</v>
      </c>
      <c r="J15" s="26"/>
    </row>
    <row r="16" spans="1:10" ht="17" x14ac:dyDescent="0.5">
      <c r="A16" s="25" t="s">
        <v>257</v>
      </c>
      <c r="B16" s="26" t="s">
        <v>258</v>
      </c>
      <c r="C16" s="26" t="s">
        <v>193</v>
      </c>
      <c r="D16" s="26" t="s">
        <v>202</v>
      </c>
      <c r="E16" s="29" t="s">
        <v>193</v>
      </c>
      <c r="F16" s="26" t="s">
        <v>259</v>
      </c>
      <c r="G16" s="26" t="s">
        <v>260</v>
      </c>
      <c r="H16" s="26"/>
      <c r="I16" s="26" t="s">
        <v>248</v>
      </c>
      <c r="J16" s="26"/>
    </row>
    <row r="17" spans="1:10" ht="17" x14ac:dyDescent="0.5">
      <c r="A17" s="25" t="s">
        <v>261</v>
      </c>
      <c r="B17" s="26" t="s">
        <v>262</v>
      </c>
      <c r="C17" s="26" t="s">
        <v>193</v>
      </c>
      <c r="D17" s="26" t="s">
        <v>202</v>
      </c>
      <c r="E17" s="29" t="s">
        <v>193</v>
      </c>
      <c r="F17" s="26" t="s">
        <v>263</v>
      </c>
      <c r="G17" s="26" t="s">
        <v>264</v>
      </c>
      <c r="H17" s="26"/>
      <c r="I17" s="26" t="s">
        <v>194</v>
      </c>
      <c r="J17" s="26"/>
    </row>
    <row r="18" spans="1:10" ht="17" x14ac:dyDescent="0.5">
      <c r="A18" s="25" t="s">
        <v>262</v>
      </c>
      <c r="B18" s="26" t="s">
        <v>261</v>
      </c>
      <c r="C18" s="35" t="s">
        <v>193</v>
      </c>
      <c r="D18" s="26" t="s">
        <v>202</v>
      </c>
      <c r="E18" s="29" t="s">
        <v>193</v>
      </c>
      <c r="F18" s="26" t="s">
        <v>265</v>
      </c>
      <c r="G18" s="26" t="s">
        <v>266</v>
      </c>
      <c r="H18" s="26"/>
      <c r="I18" s="26" t="s">
        <v>194</v>
      </c>
      <c r="J18" s="26"/>
    </row>
    <row r="19" spans="1:10" ht="17" x14ac:dyDescent="0.5">
      <c r="A19" s="25" t="s">
        <v>258</v>
      </c>
      <c r="B19" s="26" t="s">
        <v>257</v>
      </c>
      <c r="C19" s="35" t="s">
        <v>193</v>
      </c>
      <c r="D19" s="26" t="s">
        <v>202</v>
      </c>
      <c r="E19" s="29" t="s">
        <v>193</v>
      </c>
      <c r="F19" s="26" t="s">
        <v>267</v>
      </c>
      <c r="G19" s="26" t="s">
        <v>268</v>
      </c>
      <c r="H19" s="26"/>
      <c r="I19" s="26" t="s">
        <v>194</v>
      </c>
      <c r="J19" s="26"/>
    </row>
    <row r="20" spans="1:10" ht="17" x14ac:dyDescent="0.5">
      <c r="A20" s="25" t="s">
        <v>254</v>
      </c>
      <c r="B20" s="26" t="s">
        <v>253</v>
      </c>
      <c r="C20" s="35" t="s">
        <v>193</v>
      </c>
      <c r="D20" s="26" t="s">
        <v>202</v>
      </c>
      <c r="E20" s="29" t="s">
        <v>193</v>
      </c>
      <c r="F20" s="26" t="s">
        <v>269</v>
      </c>
      <c r="G20" s="26" t="s">
        <v>270</v>
      </c>
      <c r="H20" s="26"/>
      <c r="I20" s="26" t="s">
        <v>194</v>
      </c>
      <c r="J20" s="26"/>
    </row>
    <row r="21" spans="1:10" ht="17" x14ac:dyDescent="0.5">
      <c r="A21" s="25" t="s">
        <v>250</v>
      </c>
      <c r="B21" s="26" t="s">
        <v>249</v>
      </c>
      <c r="C21" s="35" t="s">
        <v>193</v>
      </c>
      <c r="D21" s="26" t="s">
        <v>202</v>
      </c>
      <c r="E21" s="29" t="s">
        <v>193</v>
      </c>
      <c r="F21" s="26" t="s">
        <v>271</v>
      </c>
      <c r="G21" s="26" t="s">
        <v>272</v>
      </c>
      <c r="H21" s="26"/>
      <c r="I21" s="26" t="s">
        <v>194</v>
      </c>
      <c r="J21" s="26"/>
    </row>
    <row r="22" spans="1:10" ht="17" x14ac:dyDescent="0.5">
      <c r="A22" s="25" t="s">
        <v>273</v>
      </c>
      <c r="B22" s="26" t="s">
        <v>244</v>
      </c>
      <c r="C22" s="35" t="s">
        <v>193</v>
      </c>
      <c r="D22" s="26" t="s">
        <v>202</v>
      </c>
      <c r="E22" s="29" t="s">
        <v>193</v>
      </c>
      <c r="F22" s="26" t="s">
        <v>274</v>
      </c>
      <c r="G22" s="26" t="s">
        <v>275</v>
      </c>
      <c r="H22" s="26" t="s">
        <v>276</v>
      </c>
      <c r="I22" s="26" t="s">
        <v>194</v>
      </c>
      <c r="J22" s="26"/>
    </row>
    <row r="23" spans="1:10" ht="17" x14ac:dyDescent="0.5">
      <c r="A23" s="25" t="s">
        <v>277</v>
      </c>
      <c r="B23" s="26" t="s">
        <v>241</v>
      </c>
      <c r="C23" s="35" t="s">
        <v>193</v>
      </c>
      <c r="D23" s="26" t="s">
        <v>202</v>
      </c>
      <c r="E23" s="29" t="s">
        <v>193</v>
      </c>
      <c r="F23" s="26" t="s">
        <v>278</v>
      </c>
      <c r="G23" s="26" t="s">
        <v>279</v>
      </c>
      <c r="H23" s="26"/>
      <c r="I23" s="26" t="s">
        <v>194</v>
      </c>
      <c r="J23" s="26"/>
    </row>
    <row r="24" spans="1:10" ht="17" x14ac:dyDescent="0.5">
      <c r="A24" s="25" t="s">
        <v>280</v>
      </c>
      <c r="B24" s="26" t="s">
        <v>236</v>
      </c>
      <c r="C24" s="35" t="s">
        <v>193</v>
      </c>
      <c r="D24" s="26" t="s">
        <v>202</v>
      </c>
      <c r="E24" s="29" t="s">
        <v>193</v>
      </c>
      <c r="F24" s="26" t="s">
        <v>281</v>
      </c>
      <c r="G24" s="26" t="s">
        <v>282</v>
      </c>
      <c r="H24" s="26"/>
      <c r="I24" s="26" t="s">
        <v>194</v>
      </c>
      <c r="J24" s="26"/>
    </row>
    <row r="25" spans="1:10" ht="17" x14ac:dyDescent="0.5">
      <c r="A25" s="25" t="s">
        <v>283</v>
      </c>
      <c r="B25" s="26" t="s">
        <v>231</v>
      </c>
      <c r="C25" s="35" t="s">
        <v>193</v>
      </c>
      <c r="D25" s="26" t="s">
        <v>202</v>
      </c>
      <c r="E25" s="29" t="s">
        <v>193</v>
      </c>
      <c r="F25" s="26" t="s">
        <v>284</v>
      </c>
      <c r="G25" s="26" t="s">
        <v>285</v>
      </c>
      <c r="H25" s="26" t="s">
        <v>286</v>
      </c>
      <c r="I25" s="26" t="s">
        <v>194</v>
      </c>
      <c r="J25" s="26" t="s">
        <v>287</v>
      </c>
    </row>
    <row r="26" spans="1:10" ht="17" x14ac:dyDescent="0.5">
      <c r="A26" s="25" t="s">
        <v>288</v>
      </c>
      <c r="B26" s="26" t="s">
        <v>226</v>
      </c>
      <c r="C26" s="35" t="s">
        <v>193</v>
      </c>
      <c r="D26" s="26" t="s">
        <v>202</v>
      </c>
      <c r="E26" s="29" t="s">
        <v>193</v>
      </c>
      <c r="F26" s="26" t="s">
        <v>289</v>
      </c>
      <c r="G26" s="26" t="s">
        <v>290</v>
      </c>
      <c r="H26" s="26" t="s">
        <v>291</v>
      </c>
      <c r="I26" s="26" t="s">
        <v>194</v>
      </c>
      <c r="J26" s="26" t="s">
        <v>287</v>
      </c>
    </row>
    <row r="27" spans="1:10" ht="17" x14ac:dyDescent="0.5">
      <c r="A27" s="25" t="s">
        <v>292</v>
      </c>
      <c r="B27" s="26" t="s">
        <v>221</v>
      </c>
      <c r="C27" s="35" t="s">
        <v>193</v>
      </c>
      <c r="D27" s="26" t="s">
        <v>202</v>
      </c>
      <c r="E27" s="29" t="s">
        <v>193</v>
      </c>
      <c r="F27" s="26" t="s">
        <v>293</v>
      </c>
      <c r="G27" s="26" t="s">
        <v>294</v>
      </c>
      <c r="H27" s="26" t="s">
        <v>295</v>
      </c>
      <c r="I27" s="26" t="s">
        <v>194</v>
      </c>
      <c r="J27" s="26" t="s">
        <v>287</v>
      </c>
    </row>
    <row r="28" spans="1:10" ht="17" x14ac:dyDescent="0.5">
      <c r="A28" s="25" t="s">
        <v>296</v>
      </c>
      <c r="B28" s="26" t="s">
        <v>216</v>
      </c>
      <c r="C28" s="35" t="s">
        <v>193</v>
      </c>
      <c r="D28" s="26" t="s">
        <v>202</v>
      </c>
      <c r="E28" s="29" t="s">
        <v>193</v>
      </c>
      <c r="F28" s="26" t="s">
        <v>297</v>
      </c>
      <c r="G28" s="26" t="s">
        <v>298</v>
      </c>
      <c r="H28" s="26" t="s">
        <v>299</v>
      </c>
      <c r="I28" s="26" t="s">
        <v>194</v>
      </c>
      <c r="J28" s="26" t="s">
        <v>287</v>
      </c>
    </row>
    <row r="29" spans="1:10" ht="17" x14ac:dyDescent="0.5">
      <c r="A29" s="25" t="s">
        <v>300</v>
      </c>
      <c r="B29" s="26" t="s">
        <v>211</v>
      </c>
      <c r="C29" s="35" t="s">
        <v>193</v>
      </c>
      <c r="D29" s="26" t="s">
        <v>202</v>
      </c>
      <c r="E29" s="29" t="s">
        <v>193</v>
      </c>
      <c r="F29" s="26" t="s">
        <v>301</v>
      </c>
      <c r="G29" s="26" t="s">
        <v>302</v>
      </c>
      <c r="H29" s="26" t="s">
        <v>303</v>
      </c>
      <c r="I29" s="26" t="s">
        <v>194</v>
      </c>
      <c r="J29" s="26" t="s">
        <v>287</v>
      </c>
    </row>
    <row r="30" spans="1:10" ht="17" x14ac:dyDescent="0.5">
      <c r="A30" s="25" t="s">
        <v>304</v>
      </c>
      <c r="B30" s="26" t="s">
        <v>206</v>
      </c>
      <c r="C30" s="35" t="s">
        <v>193</v>
      </c>
      <c r="D30" s="26" t="s">
        <v>202</v>
      </c>
      <c r="E30" s="29" t="s">
        <v>193</v>
      </c>
      <c r="F30" s="26" t="s">
        <v>305</v>
      </c>
      <c r="G30" s="26" t="s">
        <v>306</v>
      </c>
      <c r="H30" s="26" t="s">
        <v>307</v>
      </c>
      <c r="I30" s="26" t="s">
        <v>194</v>
      </c>
      <c r="J30" s="26" t="s">
        <v>287</v>
      </c>
    </row>
    <row r="31" spans="1:10" ht="17" x14ac:dyDescent="0.5">
      <c r="A31" s="25" t="s">
        <v>308</v>
      </c>
      <c r="B31" s="26" t="s">
        <v>199</v>
      </c>
      <c r="C31" s="35" t="s">
        <v>193</v>
      </c>
      <c r="D31" s="26" t="s">
        <v>202</v>
      </c>
      <c r="E31" s="29" t="s">
        <v>193</v>
      </c>
      <c r="F31" s="26" t="s">
        <v>309</v>
      </c>
      <c r="G31" s="27" t="s">
        <v>210</v>
      </c>
      <c r="H31" s="27" t="s">
        <v>210</v>
      </c>
      <c r="I31" s="27" t="s">
        <v>210</v>
      </c>
      <c r="J31" s="26" t="s">
        <v>198</v>
      </c>
    </row>
    <row r="32" spans="1:10" ht="17" x14ac:dyDescent="0.5">
      <c r="A32" s="25" t="s">
        <v>310</v>
      </c>
      <c r="B32" s="26" t="s">
        <v>191</v>
      </c>
      <c r="C32" s="35" t="s">
        <v>193</v>
      </c>
      <c r="D32" s="26" t="s">
        <v>202</v>
      </c>
      <c r="E32" s="29" t="s">
        <v>193</v>
      </c>
      <c r="F32" s="26" t="s">
        <v>311</v>
      </c>
      <c r="G32" s="26" t="s">
        <v>312</v>
      </c>
      <c r="H32" s="26" t="s">
        <v>193</v>
      </c>
      <c r="I32" s="26" t="s">
        <v>194</v>
      </c>
      <c r="J32" s="26"/>
    </row>
    <row r="33" spans="1:10" ht="17" x14ac:dyDescent="0.5">
      <c r="A33" s="25" t="s">
        <v>313</v>
      </c>
      <c r="B33" s="26" t="s">
        <v>314</v>
      </c>
      <c r="C33" s="35" t="s">
        <v>193</v>
      </c>
      <c r="D33" s="26" t="s">
        <v>202</v>
      </c>
      <c r="E33" s="29" t="s">
        <v>193</v>
      </c>
      <c r="F33" s="26" t="s">
        <v>315</v>
      </c>
      <c r="G33" s="26" t="s">
        <v>196</v>
      </c>
      <c r="H33" s="26" t="s">
        <v>196</v>
      </c>
      <c r="I33" s="26" t="s">
        <v>196</v>
      </c>
      <c r="J33" s="26" t="s">
        <v>198</v>
      </c>
    </row>
    <row r="34" spans="1:10" ht="17" x14ac:dyDescent="0.5">
      <c r="A34" s="25" t="s">
        <v>316</v>
      </c>
      <c r="B34" s="26" t="s">
        <v>317</v>
      </c>
      <c r="C34" s="26" t="s">
        <v>193</v>
      </c>
      <c r="D34" s="26" t="s">
        <v>202</v>
      </c>
      <c r="E34" s="29" t="s">
        <v>193</v>
      </c>
      <c r="F34" s="26" t="s">
        <v>232</v>
      </c>
      <c r="G34" s="26" t="s">
        <v>318</v>
      </c>
      <c r="H34" s="26"/>
      <c r="I34" s="26" t="s">
        <v>194</v>
      </c>
      <c r="J34" s="26"/>
    </row>
    <row r="35" spans="1:10" ht="17" x14ac:dyDescent="0.5">
      <c r="A35" s="25" t="s">
        <v>319</v>
      </c>
      <c r="B35" s="26" t="s">
        <v>320</v>
      </c>
      <c r="C35" s="26" t="s">
        <v>193</v>
      </c>
      <c r="D35" s="26" t="s">
        <v>202</v>
      </c>
      <c r="E35" s="29" t="s">
        <v>193</v>
      </c>
      <c r="F35" s="26" t="s">
        <v>227</v>
      </c>
      <c r="G35" s="26" t="s">
        <v>321</v>
      </c>
      <c r="H35" s="26"/>
      <c r="I35" s="26" t="s">
        <v>194</v>
      </c>
      <c r="J35" s="26"/>
    </row>
    <row r="36" spans="1:10" ht="17" x14ac:dyDescent="0.5">
      <c r="A36" s="25" t="s">
        <v>322</v>
      </c>
      <c r="B36" s="26" t="s">
        <v>323</v>
      </c>
      <c r="C36" s="26" t="s">
        <v>193</v>
      </c>
      <c r="D36" s="26" t="s">
        <v>202</v>
      </c>
      <c r="E36" s="29" t="s">
        <v>193</v>
      </c>
      <c r="F36" s="26" t="s">
        <v>222</v>
      </c>
      <c r="G36" s="26" t="s">
        <v>324</v>
      </c>
      <c r="H36" s="26"/>
      <c r="I36" s="26" t="s">
        <v>194</v>
      </c>
      <c r="J36" s="26"/>
    </row>
    <row r="37" spans="1:10" ht="17" x14ac:dyDescent="0.5">
      <c r="A37" s="25" t="s">
        <v>325</v>
      </c>
      <c r="B37" s="26" t="s">
        <v>326</v>
      </c>
      <c r="C37" s="26" t="s">
        <v>193</v>
      </c>
      <c r="D37" s="26" t="s">
        <v>202</v>
      </c>
      <c r="E37" s="29" t="s">
        <v>193</v>
      </c>
      <c r="F37" s="26" t="s">
        <v>217</v>
      </c>
      <c r="G37" s="26" t="s">
        <v>327</v>
      </c>
      <c r="H37" s="26"/>
      <c r="I37" s="26" t="s">
        <v>194</v>
      </c>
      <c r="J37" s="26"/>
    </row>
    <row r="38" spans="1:10" ht="17" x14ac:dyDescent="0.5">
      <c r="A38" s="25" t="s">
        <v>328</v>
      </c>
      <c r="B38" s="26" t="s">
        <v>329</v>
      </c>
      <c r="C38" s="26" t="s">
        <v>193</v>
      </c>
      <c r="D38" s="26" t="s">
        <v>202</v>
      </c>
      <c r="E38" s="29" t="s">
        <v>193</v>
      </c>
      <c r="F38" s="26" t="s">
        <v>212</v>
      </c>
      <c r="G38" s="26" t="s">
        <v>330</v>
      </c>
      <c r="H38" s="26"/>
      <c r="I38" s="26" t="s">
        <v>194</v>
      </c>
      <c r="J38" s="26"/>
    </row>
    <row r="39" spans="1:10" ht="17" x14ac:dyDescent="0.5">
      <c r="A39" s="25" t="s">
        <v>331</v>
      </c>
      <c r="B39" s="26" t="s">
        <v>332</v>
      </c>
      <c r="C39" s="26" t="s">
        <v>193</v>
      </c>
      <c r="D39" s="26" t="s">
        <v>202</v>
      </c>
      <c r="E39" s="29" t="s">
        <v>193</v>
      </c>
      <c r="F39" s="26" t="s">
        <v>207</v>
      </c>
      <c r="G39" s="26" t="s">
        <v>333</v>
      </c>
      <c r="H39" s="26"/>
      <c r="I39" s="26" t="s">
        <v>194</v>
      </c>
      <c r="J39" s="26"/>
    </row>
    <row r="40" spans="1:10" ht="17" x14ac:dyDescent="0.5">
      <c r="A40" s="25" t="s">
        <v>334</v>
      </c>
      <c r="B40" s="26" t="s">
        <v>335</v>
      </c>
      <c r="C40" s="26" t="s">
        <v>193</v>
      </c>
      <c r="D40" s="26" t="s">
        <v>202</v>
      </c>
      <c r="E40" s="29" t="s">
        <v>193</v>
      </c>
      <c r="F40" s="26" t="s">
        <v>200</v>
      </c>
      <c r="G40" s="26" t="s">
        <v>336</v>
      </c>
      <c r="H40" s="26"/>
      <c r="I40" s="26" t="s">
        <v>194</v>
      </c>
      <c r="J40" s="26"/>
    </row>
    <row r="41" spans="1:10" ht="17" x14ac:dyDescent="0.5">
      <c r="A41" s="25" t="s">
        <v>337</v>
      </c>
      <c r="B41" s="26" t="s">
        <v>338</v>
      </c>
      <c r="C41" s="26" t="s">
        <v>193</v>
      </c>
      <c r="D41" s="26" t="s">
        <v>202</v>
      </c>
      <c r="E41" s="29" t="s">
        <v>193</v>
      </c>
      <c r="F41" s="26" t="s">
        <v>339</v>
      </c>
      <c r="G41" s="26" t="s">
        <v>340</v>
      </c>
      <c r="H41" s="26" t="s">
        <v>341</v>
      </c>
      <c r="I41" s="26" t="s">
        <v>194</v>
      </c>
      <c r="J41" s="26" t="s">
        <v>342</v>
      </c>
    </row>
    <row r="42" spans="1:10" ht="17" x14ac:dyDescent="0.5">
      <c r="A42" s="25" t="s">
        <v>343</v>
      </c>
      <c r="B42" s="26" t="s">
        <v>344</v>
      </c>
      <c r="C42" s="26" t="s">
        <v>193</v>
      </c>
      <c r="D42" s="26" t="s">
        <v>194</v>
      </c>
      <c r="E42" s="29" t="s">
        <v>193</v>
      </c>
      <c r="F42" s="26" t="s">
        <v>345</v>
      </c>
      <c r="G42" s="26" t="s">
        <v>346</v>
      </c>
      <c r="H42" s="26" t="s">
        <v>347</v>
      </c>
      <c r="I42" s="26" t="s">
        <v>194</v>
      </c>
      <c r="J42" s="26" t="s">
        <v>342</v>
      </c>
    </row>
    <row r="43" spans="1:10" ht="17" x14ac:dyDescent="0.5">
      <c r="A43" s="25" t="s">
        <v>348</v>
      </c>
      <c r="B43" s="26" t="s">
        <v>349</v>
      </c>
      <c r="C43" s="26" t="s">
        <v>193</v>
      </c>
      <c r="D43" s="26" t="s">
        <v>194</v>
      </c>
      <c r="E43" s="29" t="s">
        <v>193</v>
      </c>
      <c r="F43" s="26" t="s">
        <v>350</v>
      </c>
      <c r="G43" s="26" t="s">
        <v>351</v>
      </c>
      <c r="H43" s="26" t="s">
        <v>352</v>
      </c>
      <c r="I43" s="26" t="s">
        <v>194</v>
      </c>
      <c r="J43" s="26" t="s">
        <v>342</v>
      </c>
    </row>
    <row r="44" spans="1:10" ht="17" x14ac:dyDescent="0.5">
      <c r="A44" s="25" t="s">
        <v>353</v>
      </c>
      <c r="B44" s="26" t="s">
        <v>354</v>
      </c>
      <c r="C44" s="35" t="s">
        <v>355</v>
      </c>
      <c r="D44" s="26" t="s">
        <v>202</v>
      </c>
      <c r="E44" s="29" t="s">
        <v>203</v>
      </c>
      <c r="F44" s="26" t="s">
        <v>356</v>
      </c>
      <c r="G44" s="26" t="s">
        <v>357</v>
      </c>
      <c r="H44" s="26" t="s">
        <v>84</v>
      </c>
      <c r="I44" s="26" t="s">
        <v>194</v>
      </c>
      <c r="J44" s="26" t="s">
        <v>358</v>
      </c>
    </row>
    <row r="45" spans="1:10" ht="17" x14ac:dyDescent="0.5">
      <c r="A45" s="25" t="s">
        <v>359</v>
      </c>
      <c r="B45" s="26" t="s">
        <v>360</v>
      </c>
      <c r="C45" s="35" t="s">
        <v>361</v>
      </c>
      <c r="D45" s="26" t="s">
        <v>202</v>
      </c>
      <c r="E45" s="29" t="s">
        <v>203</v>
      </c>
      <c r="F45" s="26" t="s">
        <v>362</v>
      </c>
      <c r="G45" s="26" t="s">
        <v>363</v>
      </c>
      <c r="H45" s="26" t="s">
        <v>82</v>
      </c>
      <c r="I45" s="26" t="s">
        <v>194</v>
      </c>
      <c r="J45" s="26" t="s">
        <v>358</v>
      </c>
    </row>
    <row r="46" spans="1:10" ht="17" x14ac:dyDescent="0.5">
      <c r="A46" s="25" t="s">
        <v>364</v>
      </c>
      <c r="B46" s="26" t="s">
        <v>365</v>
      </c>
      <c r="C46" s="35" t="s">
        <v>350</v>
      </c>
      <c r="D46" s="26" t="s">
        <v>202</v>
      </c>
      <c r="E46" s="29" t="s">
        <v>203</v>
      </c>
      <c r="F46" s="26" t="s">
        <v>366</v>
      </c>
      <c r="G46" s="26" t="s">
        <v>367</v>
      </c>
      <c r="H46" s="26"/>
      <c r="I46" s="26" t="s">
        <v>194</v>
      </c>
      <c r="J46" s="26"/>
    </row>
    <row r="47" spans="1:10" ht="17" x14ac:dyDescent="0.5">
      <c r="A47" s="25" t="s">
        <v>368</v>
      </c>
      <c r="B47" s="26" t="s">
        <v>369</v>
      </c>
      <c r="C47" s="35" t="s">
        <v>356</v>
      </c>
      <c r="D47" s="26" t="s">
        <v>202</v>
      </c>
      <c r="E47" s="29" t="s">
        <v>203</v>
      </c>
      <c r="F47" s="26" t="s">
        <v>370</v>
      </c>
      <c r="G47" s="26" t="s">
        <v>371</v>
      </c>
      <c r="H47" s="26"/>
      <c r="I47" s="26" t="s">
        <v>194</v>
      </c>
      <c r="J47" s="26"/>
    </row>
    <row r="48" spans="1:10" ht="17" x14ac:dyDescent="0.5">
      <c r="A48" s="25" t="s">
        <v>372</v>
      </c>
      <c r="B48" s="26" t="s">
        <v>373</v>
      </c>
      <c r="C48" s="35" t="s">
        <v>362</v>
      </c>
      <c r="D48" s="26" t="s">
        <v>202</v>
      </c>
      <c r="E48" s="29" t="s">
        <v>203</v>
      </c>
      <c r="F48" s="26" t="s">
        <v>374</v>
      </c>
      <c r="G48" s="26" t="s">
        <v>375</v>
      </c>
      <c r="H48" s="26"/>
      <c r="I48" s="26" t="s">
        <v>194</v>
      </c>
      <c r="J48" s="26"/>
    </row>
    <row r="49" spans="1:10" ht="17" x14ac:dyDescent="0.5">
      <c r="A49" s="25" t="s">
        <v>376</v>
      </c>
      <c r="B49" s="26" t="s">
        <v>377</v>
      </c>
      <c r="C49" s="35" t="s">
        <v>366</v>
      </c>
      <c r="D49" s="26" t="s">
        <v>202</v>
      </c>
      <c r="E49" s="29" t="s">
        <v>203</v>
      </c>
      <c r="F49" s="26" t="s">
        <v>378</v>
      </c>
      <c r="G49" s="27" t="s">
        <v>379</v>
      </c>
      <c r="H49" s="27" t="s">
        <v>379</v>
      </c>
      <c r="I49" s="27" t="s">
        <v>379</v>
      </c>
      <c r="J49" s="26" t="s">
        <v>198</v>
      </c>
    </row>
    <row r="50" spans="1:10" ht="17" x14ac:dyDescent="0.5">
      <c r="A50" s="25" t="s">
        <v>380</v>
      </c>
      <c r="B50" s="26" t="s">
        <v>381</v>
      </c>
      <c r="C50" s="35" t="s">
        <v>370</v>
      </c>
      <c r="D50" s="26" t="s">
        <v>202</v>
      </c>
      <c r="E50" s="29" t="s">
        <v>203</v>
      </c>
      <c r="F50" s="26" t="s">
        <v>382</v>
      </c>
      <c r="G50" s="26" t="s">
        <v>383</v>
      </c>
      <c r="H50" s="26" t="s">
        <v>193</v>
      </c>
      <c r="I50" s="26" t="s">
        <v>194</v>
      </c>
      <c r="J50" s="26"/>
    </row>
    <row r="51" spans="1:10" ht="17" x14ac:dyDescent="0.5">
      <c r="A51" s="25" t="s">
        <v>384</v>
      </c>
      <c r="B51" s="26" t="s">
        <v>385</v>
      </c>
      <c r="C51" s="35" t="s">
        <v>374</v>
      </c>
      <c r="D51" s="26" t="s">
        <v>202</v>
      </c>
      <c r="E51" s="29" t="s">
        <v>203</v>
      </c>
      <c r="F51" s="26" t="s">
        <v>386</v>
      </c>
      <c r="G51" s="26" t="s">
        <v>196</v>
      </c>
      <c r="H51" s="25" t="s">
        <v>196</v>
      </c>
      <c r="I51" s="26" t="s">
        <v>196</v>
      </c>
      <c r="J51" s="26" t="s">
        <v>198</v>
      </c>
    </row>
  </sheetData>
  <mergeCells count="2">
    <mergeCell ref="A1:E1"/>
    <mergeCell ref="F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037FD-53F8-4F1B-A735-397072D214BF}">
  <dimension ref="A1:G42"/>
  <sheetViews>
    <sheetView topLeftCell="A6" workbookViewId="0">
      <selection activeCell="H49" sqref="H49"/>
    </sheetView>
  </sheetViews>
  <sheetFormatPr defaultRowHeight="14.35" x14ac:dyDescent="0.5"/>
  <sheetData>
    <row r="1" spans="1:7" x14ac:dyDescent="0.5">
      <c r="A1" t="s">
        <v>395</v>
      </c>
      <c r="B1" t="s">
        <v>394</v>
      </c>
      <c r="C1" t="s">
        <v>393</v>
      </c>
      <c r="D1" t="s">
        <v>392</v>
      </c>
      <c r="E1" t="s">
        <v>14</v>
      </c>
      <c r="F1" t="s">
        <v>391</v>
      </c>
      <c r="G1" t="s">
        <v>390</v>
      </c>
    </row>
    <row r="2" spans="1:7" x14ac:dyDescent="0.5">
      <c r="A2" t="s">
        <v>96</v>
      </c>
      <c r="B2" t="s">
        <v>95</v>
      </c>
      <c r="G2">
        <v>7</v>
      </c>
    </row>
    <row r="3" spans="1:7" x14ac:dyDescent="0.5">
      <c r="A3" t="s">
        <v>104</v>
      </c>
      <c r="B3" t="s">
        <v>95</v>
      </c>
      <c r="G3">
        <v>1</v>
      </c>
    </row>
    <row r="4" spans="1:7" x14ac:dyDescent="0.5">
      <c r="A4" t="s">
        <v>98</v>
      </c>
      <c r="B4" t="s">
        <v>102</v>
      </c>
      <c r="G4">
        <v>1</v>
      </c>
    </row>
    <row r="5" spans="1:7" x14ac:dyDescent="0.5">
      <c r="A5" t="s">
        <v>98</v>
      </c>
      <c r="B5" t="s">
        <v>95</v>
      </c>
      <c r="C5" t="s">
        <v>119</v>
      </c>
      <c r="G5">
        <v>18</v>
      </c>
    </row>
    <row r="6" spans="1:7" x14ac:dyDescent="0.5">
      <c r="A6" t="s">
        <v>103</v>
      </c>
      <c r="B6" t="s">
        <v>96</v>
      </c>
      <c r="G6">
        <v>10</v>
      </c>
    </row>
    <row r="7" spans="1:7" x14ac:dyDescent="0.5">
      <c r="A7" t="s">
        <v>103</v>
      </c>
      <c r="B7" t="s">
        <v>98</v>
      </c>
      <c r="G7">
        <v>6</v>
      </c>
    </row>
    <row r="8" spans="1:7" x14ac:dyDescent="0.5">
      <c r="A8" t="s">
        <v>103</v>
      </c>
      <c r="B8" t="s">
        <v>97</v>
      </c>
      <c r="G8">
        <v>1</v>
      </c>
    </row>
    <row r="9" spans="1:7" x14ac:dyDescent="0.5">
      <c r="A9" t="s">
        <v>103</v>
      </c>
      <c r="B9" t="s">
        <v>102</v>
      </c>
      <c r="G9">
        <v>4</v>
      </c>
    </row>
    <row r="10" spans="1:7" x14ac:dyDescent="0.5">
      <c r="A10" t="s">
        <v>103</v>
      </c>
      <c r="B10" t="s">
        <v>95</v>
      </c>
      <c r="C10" t="s">
        <v>122</v>
      </c>
      <c r="G10">
        <v>1</v>
      </c>
    </row>
    <row r="11" spans="1:7" x14ac:dyDescent="0.5">
      <c r="A11" t="s">
        <v>103</v>
      </c>
      <c r="B11" t="s">
        <v>95</v>
      </c>
      <c r="C11" t="s">
        <v>56</v>
      </c>
      <c r="G11">
        <v>1</v>
      </c>
    </row>
    <row r="12" spans="1:7" x14ac:dyDescent="0.5">
      <c r="A12" t="s">
        <v>103</v>
      </c>
      <c r="B12" t="s">
        <v>95</v>
      </c>
      <c r="C12" t="s">
        <v>58</v>
      </c>
      <c r="G12">
        <v>1</v>
      </c>
    </row>
    <row r="13" spans="1:7" x14ac:dyDescent="0.5">
      <c r="A13" t="s">
        <v>103</v>
      </c>
      <c r="B13" t="s">
        <v>95</v>
      </c>
      <c r="C13" t="s">
        <v>125</v>
      </c>
      <c r="G13">
        <v>1</v>
      </c>
    </row>
    <row r="14" spans="1:7" x14ac:dyDescent="0.5">
      <c r="A14" t="s">
        <v>103</v>
      </c>
      <c r="B14" t="s">
        <v>95</v>
      </c>
      <c r="C14" t="s">
        <v>121</v>
      </c>
      <c r="G14">
        <v>1</v>
      </c>
    </row>
    <row r="15" spans="1:7" x14ac:dyDescent="0.5">
      <c r="A15" t="s">
        <v>103</v>
      </c>
      <c r="B15" t="s">
        <v>95</v>
      </c>
      <c r="G15">
        <v>9</v>
      </c>
    </row>
    <row r="16" spans="1:7" x14ac:dyDescent="0.5">
      <c r="A16" t="s">
        <v>103</v>
      </c>
      <c r="B16" t="s">
        <v>95</v>
      </c>
      <c r="D16">
        <v>4</v>
      </c>
      <c r="G16">
        <v>1</v>
      </c>
    </row>
    <row r="17" spans="1:7" x14ac:dyDescent="0.5">
      <c r="A17" t="s">
        <v>103</v>
      </c>
      <c r="B17" t="s">
        <v>100</v>
      </c>
      <c r="G17">
        <v>1</v>
      </c>
    </row>
    <row r="18" spans="1:7" x14ac:dyDescent="0.5">
      <c r="A18" t="s">
        <v>103</v>
      </c>
      <c r="B18" t="s">
        <v>101</v>
      </c>
      <c r="G18">
        <v>1</v>
      </c>
    </row>
    <row r="19" spans="1:7" x14ac:dyDescent="0.5">
      <c r="A19" t="s">
        <v>95</v>
      </c>
      <c r="B19" t="s">
        <v>96</v>
      </c>
      <c r="G19">
        <v>1</v>
      </c>
    </row>
    <row r="20" spans="1:7" x14ac:dyDescent="0.5">
      <c r="A20" t="s">
        <v>95</v>
      </c>
      <c r="B20" t="s">
        <v>104</v>
      </c>
      <c r="D20">
        <v>5</v>
      </c>
      <c r="G20">
        <v>1</v>
      </c>
    </row>
    <row r="21" spans="1:7" x14ac:dyDescent="0.5">
      <c r="A21" t="s">
        <v>95</v>
      </c>
      <c r="B21" t="s">
        <v>98</v>
      </c>
      <c r="G21">
        <v>11</v>
      </c>
    </row>
    <row r="22" spans="1:7" x14ac:dyDescent="0.5">
      <c r="A22" t="s">
        <v>95</v>
      </c>
      <c r="B22" t="s">
        <v>102</v>
      </c>
      <c r="G22">
        <v>10</v>
      </c>
    </row>
    <row r="23" spans="1:7" x14ac:dyDescent="0.5">
      <c r="A23" t="s">
        <v>95</v>
      </c>
      <c r="B23" t="s">
        <v>103</v>
      </c>
      <c r="G23">
        <v>29</v>
      </c>
    </row>
    <row r="24" spans="1:7" x14ac:dyDescent="0.5">
      <c r="A24" t="s">
        <v>95</v>
      </c>
      <c r="B24" t="s">
        <v>95</v>
      </c>
      <c r="C24" t="s">
        <v>120</v>
      </c>
      <c r="G24">
        <v>2</v>
      </c>
    </row>
    <row r="25" spans="1:7" x14ac:dyDescent="0.5">
      <c r="A25" t="s">
        <v>95</v>
      </c>
      <c r="B25" t="s">
        <v>95</v>
      </c>
      <c r="C25" t="s">
        <v>119</v>
      </c>
      <c r="G25">
        <v>6</v>
      </c>
    </row>
    <row r="26" spans="1:7" x14ac:dyDescent="0.5">
      <c r="A26" t="s">
        <v>95</v>
      </c>
      <c r="B26" t="s">
        <v>95</v>
      </c>
      <c r="C26" t="s">
        <v>127</v>
      </c>
      <c r="G26">
        <v>6</v>
      </c>
    </row>
    <row r="27" spans="1:7" x14ac:dyDescent="0.5">
      <c r="A27" t="s">
        <v>95</v>
      </c>
      <c r="B27" t="s">
        <v>95</v>
      </c>
      <c r="G27">
        <v>2</v>
      </c>
    </row>
    <row r="28" spans="1:7" x14ac:dyDescent="0.5">
      <c r="A28" t="s">
        <v>95</v>
      </c>
      <c r="B28" t="s">
        <v>95</v>
      </c>
      <c r="D28">
        <v>2</v>
      </c>
      <c r="E28">
        <v>3</v>
      </c>
      <c r="G28">
        <v>1</v>
      </c>
    </row>
    <row r="29" spans="1:7" x14ac:dyDescent="0.5">
      <c r="A29" t="s">
        <v>95</v>
      </c>
      <c r="B29" t="s">
        <v>95</v>
      </c>
      <c r="D29">
        <v>3</v>
      </c>
      <c r="E29">
        <v>2</v>
      </c>
      <c r="F29" t="s">
        <v>389</v>
      </c>
      <c r="G29">
        <v>1</v>
      </c>
    </row>
    <row r="30" spans="1:7" x14ac:dyDescent="0.5">
      <c r="A30" t="s">
        <v>95</v>
      </c>
      <c r="B30" t="s">
        <v>100</v>
      </c>
      <c r="G30">
        <v>6</v>
      </c>
    </row>
    <row r="31" spans="1:7" x14ac:dyDescent="0.5">
      <c r="A31" t="s">
        <v>95</v>
      </c>
      <c r="B31" t="s">
        <v>101</v>
      </c>
      <c r="G31">
        <v>26</v>
      </c>
    </row>
    <row r="32" spans="1:7" x14ac:dyDescent="0.5">
      <c r="A32" t="s">
        <v>95</v>
      </c>
      <c r="B32" t="s">
        <v>101</v>
      </c>
      <c r="D32">
        <v>7</v>
      </c>
      <c r="E32" t="s">
        <v>388</v>
      </c>
      <c r="G32">
        <v>1</v>
      </c>
    </row>
    <row r="33" spans="1:7" x14ac:dyDescent="0.5">
      <c r="A33" t="s">
        <v>100</v>
      </c>
      <c r="B33" t="s">
        <v>102</v>
      </c>
      <c r="G33">
        <v>9</v>
      </c>
    </row>
    <row r="34" spans="1:7" x14ac:dyDescent="0.5">
      <c r="A34" t="s">
        <v>100</v>
      </c>
      <c r="B34" t="s">
        <v>95</v>
      </c>
      <c r="C34" t="s">
        <v>120</v>
      </c>
      <c r="G34">
        <v>3</v>
      </c>
    </row>
    <row r="35" spans="1:7" x14ac:dyDescent="0.5">
      <c r="A35" t="s">
        <v>100</v>
      </c>
      <c r="B35" t="s">
        <v>95</v>
      </c>
      <c r="C35" t="s">
        <v>119</v>
      </c>
      <c r="G35">
        <v>3</v>
      </c>
    </row>
    <row r="36" spans="1:7" x14ac:dyDescent="0.5">
      <c r="A36" t="s">
        <v>100</v>
      </c>
      <c r="B36" t="s">
        <v>95</v>
      </c>
      <c r="G36">
        <v>1</v>
      </c>
    </row>
    <row r="37" spans="1:7" x14ac:dyDescent="0.5">
      <c r="A37" t="s">
        <v>101</v>
      </c>
      <c r="B37" t="s">
        <v>102</v>
      </c>
      <c r="G37">
        <v>36</v>
      </c>
    </row>
    <row r="38" spans="1:7" x14ac:dyDescent="0.5">
      <c r="A38" t="s">
        <v>101</v>
      </c>
      <c r="B38" t="s">
        <v>102</v>
      </c>
      <c r="D38">
        <v>3</v>
      </c>
      <c r="E38">
        <v>4</v>
      </c>
      <c r="F38" t="s">
        <v>387</v>
      </c>
      <c r="G38">
        <v>1</v>
      </c>
    </row>
    <row r="39" spans="1:7" x14ac:dyDescent="0.5">
      <c r="A39" t="s">
        <v>101</v>
      </c>
      <c r="B39" t="s">
        <v>95</v>
      </c>
      <c r="C39" t="s">
        <v>120</v>
      </c>
      <c r="G39">
        <v>13</v>
      </c>
    </row>
    <row r="40" spans="1:7" x14ac:dyDescent="0.5">
      <c r="A40" t="s">
        <v>101</v>
      </c>
      <c r="B40" t="s">
        <v>95</v>
      </c>
      <c r="C40" t="s">
        <v>119</v>
      </c>
      <c r="G40">
        <v>18</v>
      </c>
    </row>
    <row r="41" spans="1:7" x14ac:dyDescent="0.5">
      <c r="A41" t="s">
        <v>101</v>
      </c>
      <c r="B41" t="s">
        <v>95</v>
      </c>
      <c r="C41" t="s">
        <v>119</v>
      </c>
      <c r="D41">
        <v>6</v>
      </c>
      <c r="G41">
        <v>1</v>
      </c>
    </row>
    <row r="42" spans="1:7" x14ac:dyDescent="0.5">
      <c r="A42" t="s">
        <v>101</v>
      </c>
      <c r="B42" t="s">
        <v>95</v>
      </c>
      <c r="G42">
        <v>1</v>
      </c>
    </row>
  </sheetData>
  <autoFilter ref="A1:G42" xr:uid="{9DCED08C-027A-4A28-A38B-5BBB27866F7C}">
    <sortState xmlns:xlrd2="http://schemas.microsoft.com/office/spreadsheetml/2017/richdata2" ref="A2:G42">
      <sortCondition ref="A2:A42"/>
      <sortCondition ref="B2:B42"/>
      <sortCondition ref="C2:C42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</vt:i4>
      </vt:variant>
    </vt:vector>
  </HeadingPairs>
  <TitlesOfParts>
    <vt:vector size="23" baseType="lpstr">
      <vt:lpstr>Forth Primitives</vt:lpstr>
      <vt:lpstr>Input Sequencer Word</vt:lpstr>
      <vt:lpstr>Output Control Word</vt:lpstr>
      <vt:lpstr>uInstructions</vt:lpstr>
      <vt:lpstr>Registers</vt:lpstr>
      <vt:lpstr>ALU Logic</vt:lpstr>
      <vt:lpstr>Memory Logic</vt:lpstr>
      <vt:lpstr>ISA Bus</vt:lpstr>
      <vt:lpstr>move_profile</vt:lpstr>
      <vt:lpstr>ADC</vt:lpstr>
      <vt:lpstr>ADD</vt:lpstr>
      <vt:lpstr>ALU_A</vt:lpstr>
      <vt:lpstr>ALU_B</vt:lpstr>
      <vt:lpstr>AND</vt:lpstr>
      <vt:lpstr>DEC</vt:lpstr>
      <vt:lpstr>INC</vt:lpstr>
      <vt:lpstr>NOT</vt:lpstr>
      <vt:lpstr>OR</vt:lpstr>
      <vt:lpstr>SBB</vt:lpstr>
      <vt:lpstr>SHL</vt:lpstr>
      <vt:lpstr>SUB</vt:lpstr>
      <vt:lpstr>XOR</vt:lpstr>
      <vt:lpstr>ZERO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Paul Riley</cp:lastModifiedBy>
  <cp:revision/>
  <dcterms:created xsi:type="dcterms:W3CDTF">2024-05-14T00:20:28Z</dcterms:created>
  <dcterms:modified xsi:type="dcterms:W3CDTF">2026-08-03T05:54:41Z</dcterms:modified>
  <cp:category/>
  <cp:contentStatus/>
</cp:coreProperties>
</file>